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L01_Lestari" sheetId="2" state="visible" r:id="rId4"/>
    <sheet name="L02_TriMakmur" sheetId="3" state="visible" r:id="rId5"/>
    <sheet name="L03_Sepakat" sheetId="4" state="visible" r:id="rId6"/>
    <sheet name="L04_HarapanMakmur" sheetId="5" state="visible" r:id="rId7"/>
    <sheet name="L05a_DianBelato" sheetId="6" state="visible" r:id="rId8"/>
    <sheet name="L05b_DianBelato" sheetId="7" state="visible" r:id="rId9"/>
    <sheet name="L06_PayoLebar" sheetId="8" state="visible" r:id="rId10"/>
    <sheet name="L07_PudingMas" sheetId="9" state="visible" r:id="rId11"/>
    <sheet name="L08a_TanjungAur" sheetId="10" state="visible" r:id="rId12"/>
    <sheet name="L08b_TanjungAur" sheetId="11" state="visible" r:id="rId13"/>
    <sheet name="L08c_TanjungAur" sheetId="12" state="visible" r:id="rId14"/>
    <sheet name="L09_BerkatMuli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<sst xmlns="http://schemas.openxmlformats.org/spreadsheetml/2006/main" count="1253" uniqueCount="191">
  <si>
    <t xml:space="preserve">RINGKASAN RAB - 12 PEKERJAAN DI 9 LOKASI</t>
  </si>
  <si>
    <t xml:space="preserve">Pekerjaan Utama</t>
  </si>
  <si>
    <t xml:space="preserve">Pembuatan Sumur Bor + Pompa (Hybrid/Diesel/Submersible) + Panel Surya (Hybrid) + Pengecoran &amp; Pembetonan</t>
  </si>
  <si>
    <t xml:space="preserve">Wilayah</t>
  </si>
  <si>
    <t xml:space="preserve">9 Lokasi di Kabupaten Tebo, Provinsi Jambi</t>
  </si>
  <si>
    <t xml:space="preserve">Sumber Harga Satuan</t>
  </si>
  <si>
    <t xml:space="preserve">HSP Kab. Tebo / DPU Jambi (estimasi 2024-2025)</t>
  </si>
  <si>
    <t xml:space="preserve">Faktor Biaya</t>
  </si>
  <si>
    <t xml:space="preserve">All-in (material + upah + alat + overhead &amp; profit sudah termasuk)</t>
  </si>
  <si>
    <t xml:space="preserve">PPN</t>
  </si>
  <si>
    <t xml:space="preserve">Tidak dikenakan (0%)</t>
  </si>
  <si>
    <t xml:space="preserve">Volume Pengecoran</t>
  </si>
  <si>
    <t xml:space="preserve">Mengacu ke dokumen draft proyek Tri Makmur (denah 425x225 cm, perimeter 13 m)</t>
  </si>
  <si>
    <t xml:space="preserve">Target Anggaran</t>
  </si>
  <si>
    <t xml:space="preserve">Dibulatkan per jutaan ke bawah per pekerjaan</t>
  </si>
  <si>
    <t xml:space="preserve">REKAPITULASI 12 PEKERJAAN</t>
  </si>
  <si>
    <t xml:space="preserve">No.</t>
  </si>
  <si>
    <t xml:space="preserve">Lokasi (Poktan, Desa, Kec.)</t>
  </si>
  <si>
    <t xml:space="preserve">Tipe Pekerjaan</t>
  </si>
  <si>
    <t xml:space="preserve">Paket</t>
  </si>
  <si>
    <t xml:space="preserve">Sumur Bor (Rp)</t>
  </si>
  <si>
    <t xml:space="preserve">Pengecoran (Rp)</t>
  </si>
  <si>
    <t xml:space="preserve">Solar/Diesel (Rp)</t>
  </si>
  <si>
    <t xml:space="preserve">Total (Rp)</t>
  </si>
  <si>
    <t xml:space="preserve">Anggaran Maks (Rp)</t>
  </si>
  <si>
    <t xml:space="preserve">Selisih (Rp)</t>
  </si>
  <si>
    <t xml:space="preserve">Status</t>
  </si>
  <si>
    <t xml:space="preserve">11</t>
  </si>
  <si>
    <t xml:space="preserve">Poktan Lestari, Desa Teluk Singkawang, Kec. Sumay</t>
  </si>
  <si>
    <t xml:space="preserve">Diesel JD330</t>
  </si>
  <si>
    <t xml:space="preserve">22</t>
  </si>
  <si>
    <t xml:space="preserve">Poktan Tri Makmur, Desa Teluk Rendah Ilir, Kec. Tebo Ilir</t>
  </si>
  <si>
    <t xml:space="preserve">Hybrid + Solar</t>
  </si>
  <si>
    <t xml:space="preserve">33</t>
  </si>
  <si>
    <t xml:space="preserve">Poktan Sepakat, Desa Teluk Rendah Ilir, Kec. Tebo Ilir</t>
  </si>
  <si>
    <t xml:space="preserve">Submersible + PLN</t>
  </si>
  <si>
    <t xml:space="preserve">44</t>
  </si>
  <si>
    <t xml:space="preserve">Poktan Harapan Makmur, Desa Tuo Ilir, Kec. Tebo Ilir</t>
  </si>
  <si>
    <t xml:space="preserve">5a</t>
  </si>
  <si>
    <t xml:space="preserve">Poktan Dian Belato (Paket 1), Desa Teluk Rendah Pasar, Kec. Tebo Ilir</t>
  </si>
  <si>
    <t xml:space="preserve">5b</t>
  </si>
  <si>
    <t xml:space="preserve">Poktan Dian Belato (Paket 2), Desa Teluk Rendah Pasar, Kec. Tebo Ilir</t>
  </si>
  <si>
    <t xml:space="preserve">66</t>
  </si>
  <si>
    <t xml:space="preserve">Poktan Payo Lebar, Desa Kuamang, Kec. VII Koto</t>
  </si>
  <si>
    <t xml:space="preserve">77</t>
  </si>
  <si>
    <t xml:space="preserve">Poktan Puding Mas, Desa Pagar Puding Lamo, Kec. Serai Serumpun</t>
  </si>
  <si>
    <t xml:space="preserve">8a</t>
  </si>
  <si>
    <t xml:space="preserve">Poktan Tanjung Aur Indah (Paket 1), Desa Tanjung Aur Seberang, Kec. Serai Serumpun</t>
  </si>
  <si>
    <t xml:space="preserve">8b</t>
  </si>
  <si>
    <t xml:space="preserve">Poktan Tanjung Aur Indah (Paket 2), Desa Tanjung Aur Seberang, Kec. Serai Serumpun</t>
  </si>
  <si>
    <t xml:space="preserve">8c</t>
  </si>
  <si>
    <t xml:space="preserve">Poktan Tanjung Aur Indah (Paket 3), Desa Tanjung Aur Seberang, Kec. Serai Serumpun</t>
  </si>
  <si>
    <t xml:space="preserve">99</t>
  </si>
  <si>
    <t xml:space="preserve">Poktan Berkat Mulia, Desa Pagar Puding, Kec. Tebo Ulu</t>
  </si>
  <si>
    <t xml:space="preserve">GRAND TOTAL</t>
  </si>
  <si>
    <t xml:space="preserve">CATATAN:</t>
  </si>
  <si>
    <t xml:space="preserve">1. Total 12 pekerjaan di 9 lokasi: 9 lokasi tunggal + 2 paket (L5 Dian Belato) + 3 paket (L8 Tanjung Aur) = 12 pekerjaan.</t>
  </si>
  <si>
    <t xml:space="preserve">2. Lokasi 1, 6: Pompa Diesel JD330 35 HP, TIDAK pakai panel surya, TIDAK ada rumah pompa. L1 tanpa bak, L6 dengan bak penampung 2x1x1 m.</t>
  </si>
  <si>
    <t xml:space="preserve">3. Lokasi 3: Pompa Submersible 4" 5,5 HP + Instalasi PLN/Genset, TIDAK pakai panel surya, hanya cor penutup sumur 1x1x0,1 m.</t>
  </si>
  <si>
    <t xml:space="preserve">4. Lokasi 2,4,5,7,8,9: Pompa Submersible Hybrid 2 HP (1.492 W) + 5 Panel Surya 550 Wp + Rangka Galvanis/Hollow.</t>
  </si>
  <si>
    <t xml:space="preserve">5. Volume pengecoran HYBRID mengacu ke dokumen draft proyek Tri Makmur (denah 425x225 cm, perimeter 13 m).</t>
  </si>
  <si>
    <t xml:space="preserve">6. TIDAK ada rumah pompa di SEMUA pekerjaan. Diesel engine (L1, L6) &amp; rangka panel surya (HYBRID) dipasang tanpa dinding/atap.</t>
  </si>
  <si>
    <t xml:space="preserve">7. TIDAK menggunakan besi tulangan pada pengecoran dan pembetonan. Semua struktur beton plain concrete fc 10 MPa (pondasi, balok/sloof, cor penutup sumur, bak penampung).</t>
  </si>
  <si>
    <t xml:space="preserve">8. Pengecoran HYBRID: galian + pasir urug + batu kosong + pondasi batu kali menerus + balok/sloof + cor penutup sumur (TANPA kolom &amp; plat lantai karena tidak ada rumah pompa).</t>
  </si>
  <si>
    <t xml:space="preserve">9. Pengecoran DIESEL: HANYA cor penutup sumur (+ bak penampung untuk L6). TIDAK ada pondasi/balok/sloof (karena tidak pakai panel surya &amp; tidak ada rumah pompa).</t>
  </si>
  <si>
    <t xml:space="preserve">10. Pengecoran SUBMERSIBLE (L3): HANYA cor penutup sumur.</t>
  </si>
  <si>
    <t xml:space="preserve">11. Harga satuan HSP Kab. Tebo / DPU Jambi (estimasi 2024-2025), all-in (inc. material + upah + alat).</t>
  </si>
  <si>
    <t xml:space="preserve">12. TIDAK dikenakan PPN (0%) sesuai anggaran pemberi kerja.</t>
  </si>
  <si>
    <t xml:space="preserve">13. Anggaran Lokasi 5 (Dian Belato) = Rp 232.400.974 total 2 paket -&gt; Rp 116.200.487 per paket.</t>
  </si>
  <si>
    <t xml:space="preserve">14. Anggaran Lokasi 8 (Tanjung Aur) = Rp 314.375.738 total 3 paket -&gt; Rp 104.791.913 per paket.</t>
  </si>
  <si>
    <t xml:space="preserve">15. Lokasi 1 &amp; 6 tidak menyebut kedalaman sumur -&gt; asumsi 40 m (standar DAK Pertanian).</t>
  </si>
  <si>
    <t xml:space="preserve">16. Setiap sheet detail berisi: 3 kelompok pekerjaan + kontrol anggaran (Total vs Maks + Status OK/OVER BUDGET).</t>
  </si>
  <si>
    <t xml:space="preserve">17. OVERHEAD: Item 'Overhead' ditambahkan di kelompok Solarpump/Diesel untuk menutup selisih antara total standar HSP Jambi vs anggaran ASLI pemberi kerja.</t>
  </si>
  <si>
    <t xml:space="preserve">18. Selisih total per pekerjaan vs anggaran ASLI ≤ Rp 400.000 (pembulatan ke 1.000 terdekat).</t>
  </si>
  <si>
    <t xml:space="preserve">L01_Lestari | Poktan Lestari | Teluk Singkawang</t>
  </si>
  <si>
    <t xml:space="preserve">Lokasi</t>
  </si>
  <si>
    <t xml:space="preserve">Teluk Singkawang, Kec. Sumay, Kab. Tebo, Prov. Jambi</t>
  </si>
  <si>
    <t xml:space="preserve">Poktan</t>
  </si>
  <si>
    <t xml:space="preserve">Poktan Lestari</t>
  </si>
  <si>
    <t xml:space="preserve">Pompa Diesel JD 330 35 HP + Rumah Pompa</t>
  </si>
  <si>
    <t xml:space="preserve">Kedalaman Sumur</t>
  </si>
  <si>
    <t xml:space="preserve">40 (asumsi standar DAK) m</t>
  </si>
  <si>
    <t xml:space="preserve">Anggaran Maksimal</t>
  </si>
  <si>
    <t xml:space="preserve">Rp 41.025.000</t>
  </si>
  <si>
    <t xml:space="preserve">Sumber Harga</t>
  </si>
  <si>
    <t xml:space="preserve">HSP Kab. Tebo / DPU Jambi (estimasi 2024-2025), all-in (inc. OVW &amp; profit)</t>
  </si>
  <si>
    <t xml:space="preserve">Kelompok 1: PEKERJAAN SUMUR BOR</t>
  </si>
  <si>
    <t xml:space="preserve">Uraian Pekerjaan</t>
  </si>
  <si>
    <t xml:space="preserve">Vol. (Gambar)</t>
  </si>
  <si>
    <t xml:space="preserve">Vol. (Pelaksanaan)</t>
  </si>
  <si>
    <t xml:space="preserve">Satuan</t>
  </si>
  <si>
    <t xml:space="preserve">Harga Satuan (Rp)</t>
  </si>
  <si>
    <t xml:space="preserve">Jumlah Harga (Rp)</t>
  </si>
  <si>
    <t xml:space="preserve">1.</t>
  </si>
  <si>
    <t xml:space="preserve">PEKERJAAN SUMUR BOR</t>
  </si>
  <si>
    <t xml:space="preserve">1.1.</t>
  </si>
  <si>
    <t xml:space="preserve">Pemboran tanah Ø 8 inch s/d kedalaman 40 m (termasuk mobilisasi alat, pengukuran, penyiapan lahan, developing &amp; pumping test)</t>
  </si>
  <si>
    <t xml:space="preserve">m'</t>
  </si>
  <si>
    <t xml:space="preserve">1.2.</t>
  </si>
  <si>
    <t xml:space="preserve">Pipa PVC AW Ø 6 inch (Casing) lengkap dengan fitting</t>
  </si>
  <si>
    <t xml:space="preserve">1.3.</t>
  </si>
  <si>
    <t xml:space="preserve">Pipa PVC AW Ø 2 inch (Outlet) lengkap dengan fitting</t>
  </si>
  <si>
    <t xml:space="preserve">1.4.</t>
  </si>
  <si>
    <t xml:space="preserve">Pemasangan kerikil filter (gravel pack) di annulus</t>
  </si>
  <si>
    <t xml:space="preserve">1.5.</t>
  </si>
  <si>
    <t xml:space="preserve">Pengecoran semen annulus (grouting) antara casing &amp; dinding bor</t>
  </si>
  <si>
    <t xml:space="preserve">SUB-TOTAL SUMUR BOR</t>
  </si>
  <si>
    <t xml:space="preserve">Kelompok 2: PEKERJAAN PENGECORAN &amp; PEMBETONAN</t>
  </si>
  <si>
    <t xml:space="preserve">PEKERJAAN PENGECORAN &amp; PEMBETONAN</t>
  </si>
  <si>
    <t xml:space="preserve">Cor penutup sumur 1 × 1 m, T = 10 cm, fc' 10 MPa — termasuk finishing (TANPA besi tulangan)</t>
  </si>
  <si>
    <t xml:space="preserve">m³</t>
  </si>
  <si>
    <t xml:space="preserve">SUB-TOTAL PENGECORAN</t>
  </si>
  <si>
    <t xml:space="preserve">Kelompok 3: PEKERJAAN SOLARPUMP/DIESEL</t>
  </si>
  <si>
    <t xml:space="preserve">PEKERJAAN POMPA DIESEL JD 330</t>
  </si>
  <si>
    <t xml:space="preserve">Pompa Diesel JD 330 — 35 HP, 4 langkah 1 silinder, intake/out 3 inch (paket lengkap: mesin + bracket + aksesoris)</t>
  </si>
  <si>
    <t xml:space="preserve">Unit</t>
  </si>
  <si>
    <t xml:space="preserve">Instalasi sistem pompa diesel + commissioning (termasuk coupling, pipa hisap/keluar, &amp; pengujian)</t>
  </si>
  <si>
    <t xml:space="preserve">Lump Sum</t>
  </si>
  <si>
    <t xml:space="preserve">Overhead (lump sum all-in)</t>
  </si>
  <si>
    <t xml:space="preserve">SUB-TOTAL SOLARPUMP/DIESEL</t>
  </si>
  <si>
    <t xml:space="preserve">TOTAL PEKERJAAN</t>
  </si>
  <si>
    <t xml:space="preserve">ANGGARAN MAKSIMAL</t>
  </si>
  <si>
    <t xml:space="preserve">SELISIH (Total - Anggaran Maks)</t>
  </si>
  <si>
    <t xml:space="preserve">STATUS</t>
  </si>
  <si>
    <t xml:space="preserve">L02_TriMakmur | Poktan Tri Makmur | Teluk Rendah Ilir</t>
  </si>
  <si>
    <t xml:space="preserve">Teluk Rendah Ilir, Kec. Tebo Ilir, Kab. Tebo, Prov. Jambi</t>
  </si>
  <si>
    <t xml:space="preserve">Poktan Tri Makmur</t>
  </si>
  <si>
    <t xml:space="preserve">Hybrid Tenaga Surya (Pompa 2 HP + 5 Panel 550Wp + Rangka Galvanis/Hollow)</t>
  </si>
  <si>
    <t xml:space="preserve">40 m</t>
  </si>
  <si>
    <t xml:space="preserve">Rp 75.519.821</t>
  </si>
  <si>
    <t xml:space="preserve">Galian tanah untuk pondasi rangka panel (13 m × 0,60 m × 0,65 m)</t>
  </si>
  <si>
    <t xml:space="preserve">Urugan pasir bawah pondasi, T = 5 cm</t>
  </si>
  <si>
    <t xml:space="preserve">Batu kosong bawah pondasi, T = 10 cm</t>
  </si>
  <si>
    <t xml:space="preserve">Pondasi batu kali menerus untuk rangka panel (13 m × 0,60 × 0,50 m) — fc 10 MPa</t>
  </si>
  <si>
    <t xml:space="preserve">Balok/Sloof beton 25 × 30 cm, fc' 10 MPa (perimeter 13 m) — termasuk bekisting (TANPA besi tulangan)</t>
  </si>
  <si>
    <t xml:space="preserve">1.6.</t>
  </si>
  <si>
    <t xml:space="preserve">PEKERJAAN SOLARPUMP INCLUDE GROUND MOUNTING</t>
  </si>
  <si>
    <t xml:space="preserve">Pompa Submersible Hybrid Tenaga Surya 2 HP (± 1.492 W) (paket lengkap: pompa + inverter built-in MPPT + battery + panel kontrol + kabel pacu 45 m + stopper &amp; bracket)</t>
  </si>
  <si>
    <t xml:space="preserve">Pemasangan &amp; instalasi pompa submersible dalam sumur bor</t>
  </si>
  <si>
    <t xml:space="preserve">Panel Surya Monokristalin 550 Wp Grade A (5 unit sesuai spesifikasi RAB pemberi kerja)</t>
  </si>
  <si>
    <t xml:space="preserve">Rangka Panel Galvanis/Hollow (Ground Mounting) — 1 set lengkap untuk 5 panel, termasuk hollow galvanis Ø 1,2 inch, pengaku baja ringan, baut, mur, ring, bracket mounting, &amp; cat anti-karat</t>
  </si>
  <si>
    <t xml:space="preserve">Set</t>
  </si>
  <si>
    <t xml:space="preserve">Instalasi sistem &amp; commissioning (termasuk wiring PV, load test pompa, pengujian output, grounding, &amp; penyambungan akhir)</t>
  </si>
  <si>
    <t xml:space="preserve">L03_Sepakat | Poktan Sepakat | Teluk Rendah Ilir</t>
  </si>
  <si>
    <t xml:space="preserve">Poktan Sepakat</t>
  </si>
  <si>
    <t xml:space="preserve">Pompa Submersible 4" 5,5 HP + Instalasi Listrik PLN/Genset</t>
  </si>
  <si>
    <t xml:space="preserve">Rp 20.011.142</t>
  </si>
  <si>
    <t xml:space="preserve">PEKERJAAN PENGECORAN (TUTUP SUMUR)</t>
  </si>
  <si>
    <t xml:space="preserve">PEKERJAAN POMPA SUBMERSIBLE + INSTALASI LISTRIK</t>
  </si>
  <si>
    <t xml:space="preserve">Pompa Submersible 4 inch, 5,5 HP (paket lengkap: pompa + kabel pacu 45 m + stopper &amp; bracket)</t>
  </si>
  <si>
    <t xml:space="preserve">Instalasi listrik PLN/Genset (kabel 2×4 mm² 50 m, MCB, panel kontrol, grounding) untuk penggerak pompa</t>
  </si>
  <si>
    <t xml:space="preserve">Pemasangan &amp; instalasi pompa submersible dalam sumur bor + commissioning</t>
  </si>
  <si>
    <t xml:space="preserve">L04_HarapanMakmur | Poktan Harapan Makmur | Tuo Ilir</t>
  </si>
  <si>
    <t xml:space="preserve">Tuo Ilir, Kec. Tebo Ilir, Kab. Tebo, Prov. Jambi</t>
  </si>
  <si>
    <t xml:space="preserve">Poktan Harapan Makmur</t>
  </si>
  <si>
    <t xml:space="preserve">25 m</t>
  </si>
  <si>
    <t xml:space="preserve">Rp 71.546.115</t>
  </si>
  <si>
    <t xml:space="preserve">Pemboran tanah Ø 8 inch s/d kedalaman 25 m (termasuk mobilisasi alat, pengukuran, penyiapan lahan, developing &amp; pumping test)</t>
  </si>
  <si>
    <t xml:space="preserve">L05a_DianBelato | Poktan Dian Belato (Paket 1) | Teluk Rendah Pasar</t>
  </si>
  <si>
    <t xml:space="preserve">Teluk Rendah Pasar, Kec. Tebo Ilir, Kab. Tebo, Prov. Jambi</t>
  </si>
  <si>
    <t xml:space="preserve">Poktan Dian Belato (Paket 1)</t>
  </si>
  <si>
    <t xml:space="preserve">Rp 116.200.487</t>
  </si>
  <si>
    <t xml:space="preserve">L05b_DianBelato | Poktan Dian Belato (Paket 2) | Teluk Rendah Pasar</t>
  </si>
  <si>
    <t xml:space="preserve">Poktan Dian Belato (Paket 2)</t>
  </si>
  <si>
    <t xml:space="preserve">L06_PayoLebar | Poktan Payo Lebar | Kuamang</t>
  </si>
  <si>
    <t xml:space="preserve">Kuamang, Kec. VII Koto, Kab. Tebo, Prov. Jambi</t>
  </si>
  <si>
    <t xml:space="preserve">Poktan Payo Lebar</t>
  </si>
  <si>
    <t xml:space="preserve">Rp 41.250.000</t>
  </si>
  <si>
    <t xml:space="preserve">Bak penampung air beton 2 × 1 × 1 m, fc' 10 MPa — termasuk waterproofing (TANPA besi tulangan)</t>
  </si>
  <si>
    <t xml:space="preserve">L07_PudingMas | Poktan Puding Mas | Pagar Puding Lamo</t>
  </si>
  <si>
    <t xml:space="preserve">Pagar Puding Lamo, Kec. Serai Serumpun, Kab. Tebo, Prov. Jambi</t>
  </si>
  <si>
    <t xml:space="preserve">Poktan Puding Mas</t>
  </si>
  <si>
    <t xml:space="preserve">34 m</t>
  </si>
  <si>
    <t xml:space="preserve">Rp 74.785.598</t>
  </si>
  <si>
    <t xml:space="preserve">Pemboran tanah Ø 8 inch s/d kedalaman 34 m (termasuk mobilisasi alat, pengukuran, penyiapan lahan, developing &amp; pumping test)</t>
  </si>
  <si>
    <t xml:space="preserve">L08a_TanjungAur | Poktan Tanjung Aur Indah (Paket 1) | Tanjung Aur Seberang</t>
  </si>
  <si>
    <t xml:space="preserve">Tanjung Aur Seberang, Kec. Serai Serumpun, Kab. Tebo, Prov. Jambi</t>
  </si>
  <si>
    <t xml:space="preserve">Poktan Tanjung Aur Indah (Paket 1)</t>
  </si>
  <si>
    <t xml:space="preserve">45 m</t>
  </si>
  <si>
    <t xml:space="preserve">Rp 104.791.913</t>
  </si>
  <si>
    <t xml:space="preserve">Pemboran tanah Ø 8 inch s/d kedalaman 45 m (termasuk mobilisasi alat, pengukuran, penyiapan lahan, developing &amp; pumping test)</t>
  </si>
  <si>
    <t xml:space="preserve">L08b_TanjungAur | Poktan Tanjung Aur Indah (Paket 2) | Tanjung Aur Seberang</t>
  </si>
  <si>
    <t xml:space="preserve">Poktan Tanjung Aur Indah (Paket 2)</t>
  </si>
  <si>
    <t xml:space="preserve">L08c_TanjungAur | Poktan Tanjung Aur Indah (Paket 3) | Tanjung Aur Seberang</t>
  </si>
  <si>
    <t xml:space="preserve">Poktan Tanjung Aur Indah (Paket 3)</t>
  </si>
  <si>
    <t xml:space="preserve">L09_BerkatMulia | Poktan Berkat Mulia | Pagar Puding</t>
  </si>
  <si>
    <t xml:space="preserve">Pagar Puding, Kec. Tebo Ulu, Kab. Tebo, Prov. Jambi</t>
  </si>
  <si>
    <t xml:space="preserve">Poktan Berkat Mulia</t>
  </si>
  <si>
    <t xml:space="preserve">42 m</t>
  </si>
  <si>
    <t xml:space="preserve">Rp 75.939.562</t>
  </si>
  <si>
    <t xml:space="preserve">Pemboran tanah Ø 8 inch s/d kedalaman 42 m (termasuk mobilisasi alat, pengukuran, penyiapan lahan, developing &amp; pumping test)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</si>
</sst>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p&quot;#,##0;&quot;(Rp&quot;#,##0\);\-"/>
    <numFmt numFmtId="166" formatCode="#,##0.00"/>
    <numFmt numFmtId="167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0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2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2"/>
      <color rgb="FF1B7D46"/>
      <name val="Noto Sans CJK SC"/>
      <family val="0"/>
      <charset val="1"/>
    </font>
    <font>
      <sz val="10"/>
      <color rgb="FF8C8A84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Noto Sans CJK SC"/>
        <charset val="1"/>
        <family val="0"/>
        <b val="1"/>
        <color rgb="FFFFFFFF"/>
        <sz val="11"/>
      </font>
      <fill>
        <patternFill>
          <bgColor rgb="FF1B7D46"/>
        </patternFill>
      </fill>
    </dxf>
    <dxf>
      <font>
        <name val="Noto Sans CJK SC"/>
        <charset val="1"/>
        <family val="0"/>
        <b val="1"/>
        <color rgb="FFFFFFFF"/>
        <sz val="11"/>
      </font>
      <fill>
        <patternFill>
          <bgColor rgb="FFC0392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8" min="6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7.5" hidden="false" customHeight="true" outlineLevel="0" collapsed="false"/>
    <row r="4" customFormat="false" ht="21.75" hidden="false" customHeight="true" outlineLevel="0" collapsed="false">
      <c r="B4" s="2" t="s">
        <v>1</v>
      </c>
      <c r="C4" s="3" t="s">
        <v>2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8" hidden="false" customHeight="true" outlineLevel="0" collapsed="false">
      <c r="B5" s="2" t="s">
        <v>3</v>
      </c>
      <c r="C5" s="3" t="s">
        <v>4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B6" s="2" t="s">
        <v>5</v>
      </c>
      <c r="C6" s="3" t="s">
        <v>6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8" hidden="false" customHeight="true" outlineLevel="0" collapsed="false">
      <c r="B7" s="2" t="s">
        <v>7</v>
      </c>
      <c r="C7" s="3" t="s">
        <v>8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8" hidden="false" customHeight="true" outlineLevel="0" collapsed="false">
      <c r="B8" s="2" t="s">
        <v>9</v>
      </c>
      <c r="C8" s="3" t="s">
        <v>10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8" hidden="false" customHeight="true" outlineLevel="0" collapsed="false">
      <c r="B9" s="2" t="s">
        <v>11</v>
      </c>
      <c r="C9" s="3" t="s">
        <v>12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8" hidden="false" customHeight="true" outlineLevel="0" collapsed="false">
      <c r="B10" s="2" t="s">
        <v>13</v>
      </c>
      <c r="C10" s="3" t="s">
        <v>14</v>
      </c>
      <c r="D10" s="3"/>
      <c r="E10" s="3"/>
      <c r="F10" s="3"/>
      <c r="G10" s="3"/>
      <c r="H10" s="3"/>
      <c r="I10" s="3"/>
      <c r="J10" s="3"/>
      <c r="K10" s="3"/>
      <c r="L10" s="3"/>
    </row>
    <row r="13" customFormat="false" ht="21.75" hidden="false" customHeight="true" outlineLevel="0" collapsed="false">
      <c r="B13" s="4" t="s">
        <v>15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27.75" hidden="false" customHeight="true" outlineLevel="0" collapsed="false">
      <c r="B14" s="5" t="s">
        <v>16</v>
      </c>
      <c r="C14" s="5" t="s">
        <v>17</v>
      </c>
      <c r="D14" s="5" t="s">
        <v>18</v>
      </c>
      <c r="E14" s="5" t="s">
        <v>19</v>
      </c>
      <c r="F14" s="5" t="s">
        <v>20</v>
      </c>
      <c r="G14" s="5" t="s">
        <v>21</v>
      </c>
      <c r="H14" s="5" t="s">
        <v>22</v>
      </c>
      <c r="I14" s="5" t="s">
        <v>23</v>
      </c>
      <c r="J14" s="5" t="s">
        <v>24</v>
      </c>
      <c r="K14" s="5" t="s">
        <v>25</v>
      </c>
      <c r="L14" s="5" t="s">
        <v>26</v>
      </c>
    </row>
    <row r="15" customFormat="false" ht="21.75" hidden="false" customHeight="true" outlineLevel="0" collapsed="false">
      <c r="B15" s="6" t="s">
        <v>27</v>
      </c>
      <c r="C15" s="7" t="s">
        <v>28</v>
      </c>
      <c r="D15" s="6" t="s">
        <v>29</v>
      </c>
      <c r="E15" s="6" t="n">
        <v>1</v>
      </c>
      <c r="F15" s="8" t="n">
        <v>17000000</v>
      </c>
      <c r="G15" s="8" t="n">
        <v>100000</v>
      </c>
      <c r="H15" s="8" t="n">
        <v>23925000</v>
      </c>
      <c r="I15" s="8" t="n">
        <v>41025000</v>
      </c>
      <c r="J15" s="8" t="n">
        <v>41025000</v>
      </c>
      <c r="K15" s="8" t="n">
        <f aca="false">I15-J15</f>
        <v>0</v>
      </c>
      <c r="L15" s="6" t="str">
        <f aca="false">IF(I15&lt;=J15,"OK","OVER")</f>
        <v>OK</v>
      </c>
    </row>
    <row r="16" customFormat="false" ht="21.75" hidden="false" customHeight="true" outlineLevel="0" collapsed="false">
      <c r="B16" s="9" t="s">
        <v>30</v>
      </c>
      <c r="C16" s="10" t="s">
        <v>31</v>
      </c>
      <c r="D16" s="9" t="s">
        <v>32</v>
      </c>
      <c r="E16" s="9" t="n">
        <v>1</v>
      </c>
      <c r="F16" s="11" t="n">
        <v>24000000</v>
      </c>
      <c r="G16" s="11" t="n">
        <v>4091325</v>
      </c>
      <c r="H16" s="11" t="n">
        <v>47428000</v>
      </c>
      <c r="I16" s="11" t="n">
        <v>75519325</v>
      </c>
      <c r="J16" s="11" t="n">
        <v>75519821</v>
      </c>
      <c r="K16" s="11" t="n">
        <f aca="false">I16-J16</f>
        <v>-496</v>
      </c>
      <c r="L16" s="9" t="str">
        <f aca="false">IF(I16&lt;=J16,"OK","OVER")</f>
        <v>OK</v>
      </c>
    </row>
    <row r="17" customFormat="false" ht="21.75" hidden="false" customHeight="true" outlineLevel="0" collapsed="false">
      <c r="B17" s="6" t="s">
        <v>33</v>
      </c>
      <c r="C17" s="7" t="s">
        <v>34</v>
      </c>
      <c r="D17" s="6" t="s">
        <v>35</v>
      </c>
      <c r="E17" s="6" t="n">
        <v>1</v>
      </c>
      <c r="F17" s="8" t="n">
        <v>12800000</v>
      </c>
      <c r="G17" s="8" t="n">
        <v>100000</v>
      </c>
      <c r="H17" s="8" t="n">
        <v>7111000</v>
      </c>
      <c r="I17" s="8" t="n">
        <v>20011000</v>
      </c>
      <c r="J17" s="8" t="n">
        <v>20011142</v>
      </c>
      <c r="K17" s="8" t="n">
        <f aca="false">I17-J17</f>
        <v>-142</v>
      </c>
      <c r="L17" s="6" t="str">
        <f aca="false">IF(I17&lt;=J17,"OK","OVER")</f>
        <v>OK</v>
      </c>
    </row>
    <row r="18" customFormat="false" ht="21.75" hidden="false" customHeight="true" outlineLevel="0" collapsed="false">
      <c r="B18" s="9" t="s">
        <v>36</v>
      </c>
      <c r="C18" s="10" t="s">
        <v>37</v>
      </c>
      <c r="D18" s="9" t="s">
        <v>32</v>
      </c>
      <c r="E18" s="9" t="n">
        <v>1</v>
      </c>
      <c r="F18" s="11" t="n">
        <v>15000000</v>
      </c>
      <c r="G18" s="11" t="n">
        <v>4091325</v>
      </c>
      <c r="H18" s="11" t="n">
        <v>52454000</v>
      </c>
      <c r="I18" s="11" t="n">
        <v>71545325</v>
      </c>
      <c r="J18" s="11" t="n">
        <v>71546115</v>
      </c>
      <c r="K18" s="11" t="n">
        <f aca="false">I18-J18</f>
        <v>-790</v>
      </c>
      <c r="L18" s="9" t="str">
        <f aca="false">IF(I18&lt;=J18,"OK","OVER")</f>
        <v>OK</v>
      </c>
    </row>
    <row r="19" customFormat="false" ht="21.75" hidden="false" customHeight="true" outlineLevel="0" collapsed="false">
      <c r="B19" s="6" t="s">
        <v>38</v>
      </c>
      <c r="C19" s="7" t="s">
        <v>39</v>
      </c>
      <c r="D19" s="6" t="s">
        <v>32</v>
      </c>
      <c r="E19" s="6" t="n">
        <v>1</v>
      </c>
      <c r="F19" s="8" t="n">
        <v>15000000</v>
      </c>
      <c r="G19" s="8" t="n">
        <v>4091325</v>
      </c>
      <c r="H19" s="8" t="n">
        <v>97109000</v>
      </c>
      <c r="I19" s="8" t="n">
        <v>116200325</v>
      </c>
      <c r="J19" s="8" t="n">
        <v>116200487</v>
      </c>
      <c r="K19" s="8" t="n">
        <f aca="false">I19-J19</f>
        <v>-162</v>
      </c>
      <c r="L19" s="6" t="str">
        <f aca="false">IF(I19&lt;=J19,"OK","OVER")</f>
        <v>OK</v>
      </c>
    </row>
    <row r="20" customFormat="false" ht="21.75" hidden="false" customHeight="true" outlineLevel="0" collapsed="false">
      <c r="B20" s="9" t="s">
        <v>40</v>
      </c>
      <c r="C20" s="10" t="s">
        <v>41</v>
      </c>
      <c r="D20" s="9" t="s">
        <v>32</v>
      </c>
      <c r="E20" s="9" t="n">
        <v>1</v>
      </c>
      <c r="F20" s="11" t="n">
        <v>15000000</v>
      </c>
      <c r="G20" s="11" t="n">
        <v>4091325</v>
      </c>
      <c r="H20" s="11" t="n">
        <v>97109000</v>
      </c>
      <c r="I20" s="11" t="n">
        <v>116200325</v>
      </c>
      <c r="J20" s="11" t="n">
        <v>116200487</v>
      </c>
      <c r="K20" s="11" t="n">
        <f aca="false">I20-J20</f>
        <v>-162</v>
      </c>
      <c r="L20" s="9" t="str">
        <f aca="false">IF(I20&lt;=J20,"OK","OVER")</f>
        <v>OK</v>
      </c>
    </row>
    <row r="21" customFormat="false" ht="21.75" hidden="false" customHeight="true" outlineLevel="0" collapsed="false">
      <c r="B21" s="6" t="s">
        <v>42</v>
      </c>
      <c r="C21" s="7" t="s">
        <v>43</v>
      </c>
      <c r="D21" s="6" t="s">
        <v>29</v>
      </c>
      <c r="E21" s="6" t="n">
        <v>1</v>
      </c>
      <c r="F21" s="8" t="n">
        <v>14000000</v>
      </c>
      <c r="G21" s="8" t="n">
        <v>2500000</v>
      </c>
      <c r="H21" s="8" t="n">
        <v>24750000</v>
      </c>
      <c r="I21" s="8" t="n">
        <v>41250000</v>
      </c>
      <c r="J21" s="8" t="n">
        <v>41250000</v>
      </c>
      <c r="K21" s="8" t="n">
        <f aca="false">I21-J21</f>
        <v>0</v>
      </c>
      <c r="L21" s="6" t="str">
        <f aca="false">IF(I21&lt;=J21,"OK","OVER")</f>
        <v>OK</v>
      </c>
    </row>
    <row r="22" customFormat="false" ht="21.75" hidden="false" customHeight="true" outlineLevel="0" collapsed="false">
      <c r="B22" s="9" t="s">
        <v>44</v>
      </c>
      <c r="C22" s="10" t="s">
        <v>45</v>
      </c>
      <c r="D22" s="9" t="s">
        <v>32</v>
      </c>
      <c r="E22" s="9" t="n">
        <v>1</v>
      </c>
      <c r="F22" s="11" t="n">
        <v>20400000</v>
      </c>
      <c r="G22" s="11" t="n">
        <v>4091325</v>
      </c>
      <c r="H22" s="11" t="n">
        <v>50294000</v>
      </c>
      <c r="I22" s="11" t="n">
        <v>74785325</v>
      </c>
      <c r="J22" s="11" t="n">
        <v>74785598</v>
      </c>
      <c r="K22" s="11" t="n">
        <f aca="false">I22-J22</f>
        <v>-273</v>
      </c>
      <c r="L22" s="9" t="str">
        <f aca="false">IF(I22&lt;=J22,"OK","OVER")</f>
        <v>OK</v>
      </c>
    </row>
    <row r="23" customFormat="false" ht="21.75" hidden="false" customHeight="true" outlineLevel="0" collapsed="false">
      <c r="B23" s="6" t="s">
        <v>46</v>
      </c>
      <c r="C23" s="7" t="s">
        <v>47</v>
      </c>
      <c r="D23" s="6" t="s">
        <v>32</v>
      </c>
      <c r="E23" s="6" t="n">
        <v>1</v>
      </c>
      <c r="F23" s="8" t="n">
        <v>27000000</v>
      </c>
      <c r="G23" s="8" t="n">
        <v>4091325</v>
      </c>
      <c r="H23" s="8" t="n">
        <v>73700000</v>
      </c>
      <c r="I23" s="8" t="n">
        <v>104791325</v>
      </c>
      <c r="J23" s="8" t="n">
        <v>104791913</v>
      </c>
      <c r="K23" s="8" t="n">
        <f aca="false">I23-J23</f>
        <v>-588</v>
      </c>
      <c r="L23" s="6" t="str">
        <f aca="false">IF(I23&lt;=J23,"OK","OVER")</f>
        <v>OK</v>
      </c>
    </row>
    <row r="24" customFormat="false" ht="21.75" hidden="false" customHeight="true" outlineLevel="0" collapsed="false">
      <c r="B24" s="9" t="s">
        <v>48</v>
      </c>
      <c r="C24" s="10" t="s">
        <v>49</v>
      </c>
      <c r="D24" s="9" t="s">
        <v>32</v>
      </c>
      <c r="E24" s="9" t="n">
        <v>1</v>
      </c>
      <c r="F24" s="11" t="n">
        <v>27000000</v>
      </c>
      <c r="G24" s="11" t="n">
        <v>4091325</v>
      </c>
      <c r="H24" s="11" t="n">
        <v>73700000</v>
      </c>
      <c r="I24" s="11" t="n">
        <v>104791325</v>
      </c>
      <c r="J24" s="11" t="n">
        <v>104791913</v>
      </c>
      <c r="K24" s="11" t="n">
        <f aca="false">I24-J24</f>
        <v>-588</v>
      </c>
      <c r="L24" s="9" t="str">
        <f aca="false">IF(I24&lt;=J24,"OK","OVER")</f>
        <v>OK</v>
      </c>
    </row>
    <row r="25" customFormat="false" ht="21.75" hidden="false" customHeight="true" outlineLevel="0" collapsed="false">
      <c r="B25" s="6" t="s">
        <v>50</v>
      </c>
      <c r="C25" s="7" t="s">
        <v>51</v>
      </c>
      <c r="D25" s="6" t="s">
        <v>32</v>
      </c>
      <c r="E25" s="6" t="n">
        <v>1</v>
      </c>
      <c r="F25" s="8" t="n">
        <v>27000000</v>
      </c>
      <c r="G25" s="8" t="n">
        <v>4091325</v>
      </c>
      <c r="H25" s="8" t="n">
        <v>73700000</v>
      </c>
      <c r="I25" s="8" t="n">
        <v>104791325</v>
      </c>
      <c r="J25" s="8" t="n">
        <v>104791913</v>
      </c>
      <c r="K25" s="8" t="n">
        <f aca="false">I25-J25</f>
        <v>-588</v>
      </c>
      <c r="L25" s="6" t="str">
        <f aca="false">IF(I25&lt;=J25,"OK","OVER")</f>
        <v>OK</v>
      </c>
    </row>
    <row r="26" customFormat="false" ht="21.75" hidden="false" customHeight="true" outlineLevel="0" collapsed="false">
      <c r="B26" s="9" t="s">
        <v>52</v>
      </c>
      <c r="C26" s="10" t="s">
        <v>53</v>
      </c>
      <c r="D26" s="9" t="s">
        <v>32</v>
      </c>
      <c r="E26" s="9" t="n">
        <v>1</v>
      </c>
      <c r="F26" s="11" t="n">
        <v>25200000</v>
      </c>
      <c r="G26" s="11" t="n">
        <v>4091325</v>
      </c>
      <c r="H26" s="11" t="n">
        <v>46648000</v>
      </c>
      <c r="I26" s="11" t="n">
        <v>75939325</v>
      </c>
      <c r="J26" s="11" t="n">
        <v>75939562</v>
      </c>
      <c r="K26" s="11" t="n">
        <f aca="false">I26-J26</f>
        <v>-237</v>
      </c>
      <c r="L26" s="9" t="str">
        <f aca="false">IF(I26&lt;=J26,"OK","OVER")</f>
        <v>OK</v>
      </c>
    </row>
    <row r="27" customFormat="false" ht="27.75" hidden="false" customHeight="true" outlineLevel="0" collapsed="false">
      <c r="B27" s="12" t="s">
        <v>54</v>
      </c>
      <c r="C27" s="12"/>
      <c r="D27" s="12"/>
      <c r="E27" s="12"/>
      <c r="F27" s="13" t="n">
        <f aca="false">SUM(F15:F26)</f>
        <v>239400000</v>
      </c>
      <c r="G27" s="13" t="n">
        <f aca="false">SUM(G15:G26)</f>
        <v>39521925</v>
      </c>
      <c r="H27" s="13" t="n">
        <f aca="false">SUM(H15:H26)</f>
        <v>667928000</v>
      </c>
      <c r="I27" s="14" t="n">
        <f aca="false">SUM(I15:I26)</f>
        <v>946849925</v>
      </c>
      <c r="J27" s="13" t="n">
        <f aca="false">SUM(J15:J26)</f>
        <v>946853951</v>
      </c>
      <c r="K27" s="13" t="n">
        <f aca="false">SUM(K15:K26)</f>
        <v>-4026</v>
      </c>
      <c r="L27" s="15" t="str">
        <f aca="false">IF(I27&lt;=J27,"OK","OVER")</f>
        <v>OK</v>
      </c>
    </row>
    <row r="30" customFormat="false" ht="15" hidden="false" customHeight="false" outlineLevel="0" collapsed="false">
      <c r="B30" s="16" t="s">
        <v>55</v>
      </c>
    </row>
    <row r="31" customFormat="false" ht="18" hidden="false" customHeight="true" outlineLevel="0" collapsed="false">
      <c r="B31" s="17" t="s">
        <v>56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customFormat="false" ht="18" hidden="false" customHeight="true" outlineLevel="0" collapsed="false">
      <c r="B32" s="17" t="s">
        <v>57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customFormat="false" ht="18" hidden="false" customHeight="true" outlineLevel="0" collapsed="false">
      <c r="B33" s="17" t="s">
        <v>58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customFormat="false" ht="18" hidden="false" customHeight="true" outlineLevel="0" collapsed="false">
      <c r="B34" s="17" t="s">
        <v>59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customFormat="false" ht="18" hidden="false" customHeight="true" outlineLevel="0" collapsed="false">
      <c r="B35" s="17" t="s">
        <v>60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customFormat="false" ht="18" hidden="false" customHeight="true" outlineLevel="0" collapsed="false">
      <c r="B36" s="17" t="s">
        <v>61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customFormat="false" ht="18" hidden="false" customHeight="true" outlineLevel="0" collapsed="false">
      <c r="B37" s="17" t="s">
        <v>62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customFormat="false" ht="18" hidden="false" customHeight="true" outlineLevel="0" collapsed="false">
      <c r="B38" s="17" t="s">
        <v>63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customFormat="false" ht="18" hidden="false" customHeight="true" outlineLevel="0" collapsed="false">
      <c r="B39" s="17" t="s">
        <v>64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customFormat="false" ht="18" hidden="false" customHeight="true" outlineLevel="0" collapsed="false">
      <c r="B40" s="17" t="s">
        <v>65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customFormat="false" ht="18" hidden="false" customHeight="true" outlineLevel="0" collapsed="false">
      <c r="B41" s="17" t="s">
        <v>66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customFormat="false" ht="18" hidden="false" customHeight="true" outlineLevel="0" collapsed="false">
      <c r="B42" s="17" t="s">
        <v>67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customFormat="false" ht="18" hidden="false" customHeight="true" outlineLevel="0" collapsed="false">
      <c r="B43" s="17" t="s">
        <v>68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customFormat="false" ht="18" hidden="false" customHeight="true" outlineLevel="0" collapsed="false">
      <c r="B44" s="17" t="s">
        <v>69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customFormat="false" ht="18" hidden="false" customHeight="true" outlineLevel="0" collapsed="false">
      <c r="B45" s="17" t="s">
        <v>70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customFormat="false" ht="18" hidden="false" customHeight="true" outlineLevel="0" collapsed="false">
      <c r="B46" s="17" t="s">
        <v>71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customFormat="false" ht="18" hidden="false" customHeight="true" outlineLevel="0" collapsed="false">
      <c r="B47" s="17" t="s">
        <v>72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customFormat="false" ht="18" hidden="false" customHeight="true" outlineLevel="0" collapsed="false">
      <c r="B48" s="17" t="s">
        <v>73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</row>
  </sheetData>
  <mergeCells count="28">
    <mergeCell ref="B2:L2"/>
    <mergeCell ref="C4:L4"/>
    <mergeCell ref="C5:L5"/>
    <mergeCell ref="C6:L6"/>
    <mergeCell ref="C7:L7"/>
    <mergeCell ref="C8:L8"/>
    <mergeCell ref="C9:L9"/>
    <mergeCell ref="C10:L10"/>
    <mergeCell ref="B13:L13"/>
    <mergeCell ref="B27:E27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  <mergeCell ref="B44:L44"/>
    <mergeCell ref="B45:L45"/>
    <mergeCell ref="B46:L46"/>
    <mergeCell ref="B47:L47"/>
    <mergeCell ref="B48:L48"/>
  </mergeCells>
  <conditionalFormatting sqref="L15:L2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74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76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78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79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81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83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96</v>
      </c>
      <c r="D15" s="23" t="n">
        <v>40</v>
      </c>
      <c r="E15" s="23" t="n">
        <v>40</v>
      </c>
      <c r="F15" s="24" t="s">
        <v>97</v>
      </c>
      <c r="G15" s="8" t="n">
        <v>250000</v>
      </c>
      <c r="H15" s="8" t="n">
        <f aca="false">E15*G15</f>
        <v>10000000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40</v>
      </c>
      <c r="E16" s="26" t="n">
        <v>40</v>
      </c>
      <c r="F16" s="27" t="s">
        <v>97</v>
      </c>
      <c r="G16" s="11" t="n">
        <v>75000</v>
      </c>
      <c r="H16" s="11" t="n">
        <f aca="false">E16*G16</f>
        <v>3000000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40</v>
      </c>
      <c r="E17" s="23" t="n">
        <v>40</v>
      </c>
      <c r="F17" s="24" t="s">
        <v>97</v>
      </c>
      <c r="G17" s="8" t="n">
        <v>20000</v>
      </c>
      <c r="H17" s="8" t="n">
        <f aca="false">E17*G17</f>
        <v>800000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40</v>
      </c>
      <c r="E18" s="26" t="n">
        <v>40</v>
      </c>
      <c r="F18" s="27" t="s">
        <v>97</v>
      </c>
      <c r="G18" s="11" t="n">
        <v>30000</v>
      </c>
      <c r="H18" s="11" t="n">
        <f aca="false">E18*G18</f>
        <v>1200000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40</v>
      </c>
      <c r="E19" s="23" t="n">
        <v>40</v>
      </c>
      <c r="F19" s="24" t="s">
        <v>97</v>
      </c>
      <c r="G19" s="8" t="n">
        <v>50000</v>
      </c>
      <c r="H19" s="8" t="n">
        <f aca="false">E19*G19</f>
        <v>2000000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17000000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36" hidden="false" customHeight="true" outlineLevel="0" collapsed="false">
      <c r="B25" s="6" t="s">
        <v>95</v>
      </c>
      <c r="C25" s="22" t="s">
        <v>109</v>
      </c>
      <c r="D25" s="23" t="n">
        <v>0.1</v>
      </c>
      <c r="E25" s="23" t="n">
        <v>0.1</v>
      </c>
      <c r="F25" s="24" t="s">
        <v>110</v>
      </c>
      <c r="G25" s="8" t="n">
        <v>1000000</v>
      </c>
      <c r="H25" s="8" t="n">
        <f aca="false">E25*G25</f>
        <v>100000</v>
      </c>
    </row>
    <row r="26" customFormat="false" ht="25.5" hidden="false" customHeight="true" outlineLevel="0" collapsed="false">
      <c r="B26" s="28" t="s">
        <v>111</v>
      </c>
      <c r="C26" s="28"/>
      <c r="D26" s="28"/>
      <c r="E26" s="28"/>
      <c r="F26" s="28"/>
      <c r="G26" s="28"/>
      <c r="H26" s="13" t="n">
        <f aca="false">H25</f>
        <v>100000</v>
      </c>
    </row>
    <row r="28" customFormat="false" ht="21.75" hidden="false" customHeight="true" outlineLevel="0" collapsed="false">
      <c r="B28" s="18" t="s">
        <v>112</v>
      </c>
      <c r="C28" s="18"/>
      <c r="D28" s="18"/>
      <c r="E28" s="18"/>
      <c r="F28" s="18"/>
      <c r="G28" s="18"/>
      <c r="H28" s="18"/>
    </row>
    <row r="29" customFormat="false" ht="27.75" hidden="false" customHeight="true" outlineLevel="0" collapsed="false">
      <c r="B29" s="5" t="s">
        <v>16</v>
      </c>
      <c r="C29" s="5" t="s">
        <v>87</v>
      </c>
      <c r="D29" s="5" t="s">
        <v>88</v>
      </c>
      <c r="E29" s="5" t="s">
        <v>89</v>
      </c>
      <c r="F29" s="5" t="s">
        <v>90</v>
      </c>
      <c r="G29" s="5" t="s">
        <v>91</v>
      </c>
      <c r="H29" s="5" t="s">
        <v>92</v>
      </c>
    </row>
    <row r="30" customFormat="false" ht="21.75" hidden="false" customHeight="true" outlineLevel="0" collapsed="false">
      <c r="B30" s="19" t="s">
        <v>93</v>
      </c>
      <c r="C30" s="20" t="s">
        <v>113</v>
      </c>
      <c r="D30" s="21"/>
      <c r="E30" s="21"/>
      <c r="F30" s="21"/>
      <c r="G30" s="21"/>
      <c r="H30" s="21"/>
    </row>
    <row r="31" customFormat="false" ht="36" hidden="false" customHeight="true" outlineLevel="0" collapsed="false">
      <c r="B31" s="6" t="s">
        <v>95</v>
      </c>
      <c r="C31" s="22" t="s">
        <v>114</v>
      </c>
      <c r="D31" s="23" t="n">
        <v>1</v>
      </c>
      <c r="E31" s="23" t="n">
        <v>1</v>
      </c>
      <c r="F31" s="24" t="s">
        <v>115</v>
      </c>
      <c r="G31" s="8" t="n">
        <v>12500000</v>
      </c>
      <c r="H31" s="8" t="n">
        <f aca="false">E31*G31</f>
        <v>12500000</v>
      </c>
    </row>
    <row r="32" customFormat="false" ht="36" hidden="false" customHeight="true" outlineLevel="0" collapsed="false">
      <c r="B32" s="9" t="s">
        <v>98</v>
      </c>
      <c r="C32" s="25" t="s">
        <v>116</v>
      </c>
      <c r="D32" s="26" t="n">
        <v>1</v>
      </c>
      <c r="E32" s="26" t="n">
        <v>1</v>
      </c>
      <c r="F32" s="27" t="s">
        <v>117</v>
      </c>
      <c r="G32" s="11" t="n">
        <v>1500000</v>
      </c>
      <c r="H32" s="11" t="n">
        <f aca="false">E32*G32</f>
        <v>1500000</v>
      </c>
    </row>
    <row r="33" customFormat="false" ht="21.75" hidden="false" customHeight="true" outlineLevel="0" collapsed="false">
      <c r="B33" s="6" t="s">
        <v>100</v>
      </c>
      <c r="C33" s="22" t="s">
        <v>118</v>
      </c>
      <c r="D33" s="23" t="n">
        <v>1</v>
      </c>
      <c r="E33" s="23" t="n">
        <v>1</v>
      </c>
      <c r="F33" s="24" t="s">
        <v>117</v>
      </c>
      <c r="G33" s="8" t="n">
        <v>9925000</v>
      </c>
      <c r="H33" s="8" t="n">
        <f aca="false">E33*G33</f>
        <v>9925000</v>
      </c>
    </row>
    <row r="34" customFormat="false" ht="25.5" hidden="false" customHeight="true" outlineLevel="0" collapsed="false">
      <c r="B34" s="28" t="s">
        <v>119</v>
      </c>
      <c r="C34" s="28"/>
      <c r="D34" s="28"/>
      <c r="E34" s="28"/>
      <c r="F34" s="28"/>
      <c r="G34" s="28"/>
      <c r="H34" s="13" t="n">
        <f aca="false">H31+H32+H33</f>
        <v>23925000</v>
      </c>
    </row>
    <row r="36" customFormat="false" ht="27.75" hidden="false" customHeight="true" outlineLevel="0" collapsed="false">
      <c r="B36" s="12" t="s">
        <v>120</v>
      </c>
      <c r="C36" s="12"/>
      <c r="D36" s="12"/>
      <c r="E36" s="12"/>
      <c r="F36" s="12"/>
      <c r="G36" s="12"/>
      <c r="H36" s="14" t="n">
        <f aca="false">H20+H26+H34</f>
        <v>41025000</v>
      </c>
    </row>
    <row r="37" customFormat="false" ht="21.75" hidden="false" customHeight="true" outlineLevel="0" collapsed="false">
      <c r="B37" s="29" t="s">
        <v>121</v>
      </c>
      <c r="C37" s="29"/>
      <c r="D37" s="29"/>
      <c r="E37" s="29"/>
      <c r="F37" s="29"/>
      <c r="G37" s="29"/>
      <c r="H37" s="30" t="n">
        <v>41025000</v>
      </c>
    </row>
    <row r="38" customFormat="false" ht="21.75" hidden="false" customHeight="true" outlineLevel="0" collapsed="false">
      <c r="B38" s="31" t="s">
        <v>122</v>
      </c>
      <c r="C38" s="31"/>
      <c r="D38" s="31"/>
      <c r="E38" s="31"/>
      <c r="F38" s="31"/>
      <c r="G38" s="31"/>
      <c r="H38" s="8" t="n">
        <f aca="false">H36-H37</f>
        <v>0</v>
      </c>
    </row>
    <row r="39" customFormat="false" ht="21.75" hidden="false" customHeight="true" outlineLevel="0" collapsed="false">
      <c r="B39" s="32" t="s">
        <v>123</v>
      </c>
      <c r="C39" s="32"/>
      <c r="D39" s="32"/>
      <c r="E39" s="32"/>
      <c r="F39" s="32"/>
      <c r="G39" s="32"/>
      <c r="H39" s="9" t="str">
        <f aca="false">IF(H36&lt;=H37,"OK","OVER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26:G26"/>
    <mergeCell ref="B28:H28"/>
    <mergeCell ref="D30:H30"/>
    <mergeCell ref="B34:G34"/>
    <mergeCell ref="B36:G36"/>
    <mergeCell ref="B37:G37"/>
    <mergeCell ref="B38:G38"/>
    <mergeCell ref="B39:G39"/>
  </mergeCells>
  <conditionalFormatting sqref="H3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124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125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126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128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129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96</v>
      </c>
      <c r="D15" s="23" t="n">
        <v>40</v>
      </c>
      <c r="E15" s="23" t="n">
        <v>40</v>
      </c>
      <c r="F15" s="24" t="s">
        <v>97</v>
      </c>
      <c r="G15" s="8" t="n">
        <v>352000</v>
      </c>
      <c r="H15" s="8" t="n">
        <f aca="false">E15*G15</f>
        <v>14080000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40</v>
      </c>
      <c r="E16" s="26" t="n">
        <v>40</v>
      </c>
      <c r="F16" s="27" t="s">
        <v>97</v>
      </c>
      <c r="G16" s="11" t="n">
        <v>100000</v>
      </c>
      <c r="H16" s="11" t="n">
        <f aca="false">E16*G16</f>
        <v>4000000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40</v>
      </c>
      <c r="E17" s="23" t="n">
        <v>40</v>
      </c>
      <c r="F17" s="24" t="s">
        <v>97</v>
      </c>
      <c r="G17" s="8" t="n">
        <v>28000</v>
      </c>
      <c r="H17" s="8" t="n">
        <f aca="false">E17*G17</f>
        <v>1120000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40</v>
      </c>
      <c r="E18" s="26" t="n">
        <v>40</v>
      </c>
      <c r="F18" s="27" t="s">
        <v>97</v>
      </c>
      <c r="G18" s="11" t="n">
        <v>45000</v>
      </c>
      <c r="H18" s="11" t="n">
        <f aca="false">E18*G18</f>
        <v>1800000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40</v>
      </c>
      <c r="E19" s="23" t="n">
        <v>40</v>
      </c>
      <c r="F19" s="24" t="s">
        <v>97</v>
      </c>
      <c r="G19" s="8" t="n">
        <v>75000</v>
      </c>
      <c r="H19" s="8" t="n">
        <f aca="false">E19*G19</f>
        <v>3000000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24000000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4428000</v>
      </c>
      <c r="H41" s="11" t="n">
        <f aca="false">E41*G41</f>
        <v>4428000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47428000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75519325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75519821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-496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143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125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144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145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128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146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96</v>
      </c>
      <c r="D15" s="23" t="n">
        <v>40</v>
      </c>
      <c r="E15" s="23" t="n">
        <v>40</v>
      </c>
      <c r="F15" s="24" t="s">
        <v>97</v>
      </c>
      <c r="G15" s="8" t="n">
        <v>75000</v>
      </c>
      <c r="H15" s="8" t="n">
        <f aca="false">E15*G15</f>
        <v>3000000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40</v>
      </c>
      <c r="E16" s="26" t="n">
        <v>40</v>
      </c>
      <c r="F16" s="27" t="s">
        <v>97</v>
      </c>
      <c r="G16" s="11" t="n">
        <v>100000</v>
      </c>
      <c r="H16" s="11" t="n">
        <f aca="false">E16*G16</f>
        <v>4000000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40</v>
      </c>
      <c r="E17" s="23" t="n">
        <v>40</v>
      </c>
      <c r="F17" s="24" t="s">
        <v>97</v>
      </c>
      <c r="G17" s="8" t="n">
        <v>25000</v>
      </c>
      <c r="H17" s="8" t="n">
        <f aca="false">E17*G17</f>
        <v>1000000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40</v>
      </c>
      <c r="E18" s="26" t="n">
        <v>40</v>
      </c>
      <c r="F18" s="27" t="s">
        <v>97</v>
      </c>
      <c r="G18" s="11" t="n">
        <v>45000</v>
      </c>
      <c r="H18" s="11" t="n">
        <f aca="false">E18*G18</f>
        <v>1800000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40</v>
      </c>
      <c r="E19" s="23" t="n">
        <v>40</v>
      </c>
      <c r="F19" s="24" t="s">
        <v>97</v>
      </c>
      <c r="G19" s="8" t="n">
        <v>75000</v>
      </c>
      <c r="H19" s="8" t="n">
        <f aca="false">E19*G19</f>
        <v>3000000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12800000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147</v>
      </c>
      <c r="D24" s="21"/>
      <c r="E24" s="21"/>
      <c r="F24" s="21"/>
      <c r="G24" s="21"/>
      <c r="H24" s="21"/>
    </row>
    <row r="25" customFormat="false" ht="36" hidden="false" customHeight="true" outlineLevel="0" collapsed="false">
      <c r="B25" s="6" t="s">
        <v>95</v>
      </c>
      <c r="C25" s="22" t="s">
        <v>109</v>
      </c>
      <c r="D25" s="23" t="n">
        <v>0.1</v>
      </c>
      <c r="E25" s="23" t="n">
        <v>0.1</v>
      </c>
      <c r="F25" s="24" t="s">
        <v>110</v>
      </c>
      <c r="G25" s="8" t="n">
        <v>1000000</v>
      </c>
      <c r="H25" s="8" t="n">
        <f aca="false">E25*G25</f>
        <v>100000</v>
      </c>
    </row>
    <row r="26" customFormat="false" ht="25.5" hidden="false" customHeight="true" outlineLevel="0" collapsed="false">
      <c r="B26" s="28" t="s">
        <v>111</v>
      </c>
      <c r="C26" s="28"/>
      <c r="D26" s="28"/>
      <c r="E26" s="28"/>
      <c r="F26" s="28"/>
      <c r="G26" s="28"/>
      <c r="H26" s="13" t="n">
        <f aca="false">H25</f>
        <v>100000</v>
      </c>
    </row>
    <row r="28" customFormat="false" ht="21.75" hidden="false" customHeight="true" outlineLevel="0" collapsed="false">
      <c r="B28" s="18" t="s">
        <v>112</v>
      </c>
      <c r="C28" s="18"/>
      <c r="D28" s="18"/>
      <c r="E28" s="18"/>
      <c r="F28" s="18"/>
      <c r="G28" s="18"/>
      <c r="H28" s="18"/>
    </row>
    <row r="29" customFormat="false" ht="27.75" hidden="false" customHeight="true" outlineLevel="0" collapsed="false">
      <c r="B29" s="5" t="s">
        <v>16</v>
      </c>
      <c r="C29" s="5" t="s">
        <v>87</v>
      </c>
      <c r="D29" s="5" t="s">
        <v>88</v>
      </c>
      <c r="E29" s="5" t="s">
        <v>89</v>
      </c>
      <c r="F29" s="5" t="s">
        <v>90</v>
      </c>
      <c r="G29" s="5" t="s">
        <v>91</v>
      </c>
      <c r="H29" s="5" t="s">
        <v>92</v>
      </c>
    </row>
    <row r="30" customFormat="false" ht="21.75" hidden="false" customHeight="true" outlineLevel="0" collapsed="false">
      <c r="B30" s="19" t="s">
        <v>93</v>
      </c>
      <c r="C30" s="20" t="s">
        <v>148</v>
      </c>
      <c r="D30" s="21"/>
      <c r="E30" s="21"/>
      <c r="F30" s="21"/>
      <c r="G30" s="21"/>
      <c r="H30" s="21"/>
    </row>
    <row r="31" customFormat="false" ht="36" hidden="false" customHeight="true" outlineLevel="0" collapsed="false">
      <c r="B31" s="6" t="s">
        <v>95</v>
      </c>
      <c r="C31" s="22" t="s">
        <v>149</v>
      </c>
      <c r="D31" s="23" t="n">
        <v>1</v>
      </c>
      <c r="E31" s="23" t="n">
        <v>1</v>
      </c>
      <c r="F31" s="24" t="s">
        <v>115</v>
      </c>
      <c r="G31" s="8" t="n">
        <v>5000000</v>
      </c>
      <c r="H31" s="8" t="n">
        <f aca="false">E31*G31</f>
        <v>5000000</v>
      </c>
    </row>
    <row r="32" customFormat="false" ht="36" hidden="false" customHeight="true" outlineLevel="0" collapsed="false">
      <c r="B32" s="9" t="s">
        <v>98</v>
      </c>
      <c r="C32" s="25" t="s">
        <v>150</v>
      </c>
      <c r="D32" s="26" t="n">
        <v>1</v>
      </c>
      <c r="E32" s="26" t="n">
        <v>1</v>
      </c>
      <c r="F32" s="27" t="s">
        <v>117</v>
      </c>
      <c r="G32" s="11" t="n">
        <v>1500000</v>
      </c>
      <c r="H32" s="11" t="n">
        <f aca="false">E32*G32</f>
        <v>1500000</v>
      </c>
    </row>
    <row r="33" customFormat="false" ht="27.75" hidden="false" customHeight="true" outlineLevel="0" collapsed="false">
      <c r="B33" s="6" t="s">
        <v>100</v>
      </c>
      <c r="C33" s="22" t="s">
        <v>151</v>
      </c>
      <c r="D33" s="23" t="n">
        <v>1</v>
      </c>
      <c r="E33" s="23" t="n">
        <v>1</v>
      </c>
      <c r="F33" s="24" t="s">
        <v>117</v>
      </c>
      <c r="G33" s="8" t="n">
        <v>500000</v>
      </c>
      <c r="H33" s="8" t="n">
        <f aca="false">E33*G33</f>
        <v>500000</v>
      </c>
    </row>
    <row r="34" customFormat="false" ht="21.75" hidden="false" customHeight="true" outlineLevel="0" collapsed="false">
      <c r="B34" s="9" t="s">
        <v>102</v>
      </c>
      <c r="C34" s="25" t="s">
        <v>118</v>
      </c>
      <c r="D34" s="26" t="n">
        <v>1</v>
      </c>
      <c r="E34" s="26" t="n">
        <v>1</v>
      </c>
      <c r="F34" s="27" t="s">
        <v>117</v>
      </c>
      <c r="G34" s="11" t="n">
        <v>111000</v>
      </c>
      <c r="H34" s="11" t="n">
        <f aca="false">E34*G34</f>
        <v>111000</v>
      </c>
    </row>
    <row r="35" customFormat="false" ht="25.5" hidden="false" customHeight="true" outlineLevel="0" collapsed="false">
      <c r="B35" s="28" t="s">
        <v>119</v>
      </c>
      <c r="C35" s="28"/>
      <c r="D35" s="28"/>
      <c r="E35" s="28"/>
      <c r="F35" s="28"/>
      <c r="G35" s="28"/>
      <c r="H35" s="13" t="n">
        <f aca="false">H31+H32+H33+H34</f>
        <v>7111000</v>
      </c>
    </row>
    <row r="37" customFormat="false" ht="27.75" hidden="false" customHeight="true" outlineLevel="0" collapsed="false">
      <c r="B37" s="12" t="s">
        <v>120</v>
      </c>
      <c r="C37" s="12"/>
      <c r="D37" s="12"/>
      <c r="E37" s="12"/>
      <c r="F37" s="12"/>
      <c r="G37" s="12"/>
      <c r="H37" s="14" t="n">
        <f aca="false">H20+H26+H35</f>
        <v>20011000</v>
      </c>
    </row>
    <row r="38" customFormat="false" ht="21.75" hidden="false" customHeight="true" outlineLevel="0" collapsed="false">
      <c r="B38" s="29" t="s">
        <v>121</v>
      </c>
      <c r="C38" s="29"/>
      <c r="D38" s="29"/>
      <c r="E38" s="29"/>
      <c r="F38" s="29"/>
      <c r="G38" s="29"/>
      <c r="H38" s="30" t="n">
        <v>20011142</v>
      </c>
    </row>
    <row r="39" customFormat="false" ht="21.75" hidden="false" customHeight="true" outlineLevel="0" collapsed="false">
      <c r="B39" s="31" t="s">
        <v>122</v>
      </c>
      <c r="C39" s="31"/>
      <c r="D39" s="31"/>
      <c r="E39" s="31"/>
      <c r="F39" s="31"/>
      <c r="G39" s="31"/>
      <c r="H39" s="8" t="n">
        <f aca="false">H37-H38</f>
        <v>-142</v>
      </c>
    </row>
    <row r="40" customFormat="false" ht="21.75" hidden="false" customHeight="true" outlineLevel="0" collapsed="false">
      <c r="B40" s="32" t="s">
        <v>123</v>
      </c>
      <c r="C40" s="32"/>
      <c r="D40" s="32"/>
      <c r="E40" s="32"/>
      <c r="F40" s="32"/>
      <c r="G40" s="32"/>
      <c r="H40" s="9" t="str">
        <f aca="false">IF(H37&lt;=H38,"OK","OVER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26:G26"/>
    <mergeCell ref="B28:H28"/>
    <mergeCell ref="D30:H30"/>
    <mergeCell ref="B35:G35"/>
    <mergeCell ref="B37:G37"/>
    <mergeCell ref="B38:G38"/>
    <mergeCell ref="B39:G39"/>
    <mergeCell ref="B40:G40"/>
  </mergeCells>
  <conditionalFormatting sqref="H4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152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153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154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155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156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157</v>
      </c>
      <c r="D15" s="23" t="n">
        <v>25</v>
      </c>
      <c r="E15" s="23" t="n">
        <v>25</v>
      </c>
      <c r="F15" s="24" t="s">
        <v>97</v>
      </c>
      <c r="G15" s="8" t="n">
        <v>352000</v>
      </c>
      <c r="H15" s="8" t="n">
        <f aca="false">E15*G15</f>
        <v>8800000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25</v>
      </c>
      <c r="E16" s="26" t="n">
        <v>25</v>
      </c>
      <c r="F16" s="27" t="s">
        <v>97</v>
      </c>
      <c r="G16" s="11" t="n">
        <v>100000</v>
      </c>
      <c r="H16" s="11" t="n">
        <f aca="false">E16*G16</f>
        <v>2500000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25</v>
      </c>
      <c r="E17" s="23" t="n">
        <v>25</v>
      </c>
      <c r="F17" s="24" t="s">
        <v>97</v>
      </c>
      <c r="G17" s="8" t="n">
        <v>28000</v>
      </c>
      <c r="H17" s="8" t="n">
        <f aca="false">E17*G17</f>
        <v>700000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25</v>
      </c>
      <c r="E18" s="26" t="n">
        <v>25</v>
      </c>
      <c r="F18" s="27" t="s">
        <v>97</v>
      </c>
      <c r="G18" s="11" t="n">
        <v>45000</v>
      </c>
      <c r="H18" s="11" t="n">
        <f aca="false">E18*G18</f>
        <v>1125000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25</v>
      </c>
      <c r="E19" s="23" t="n">
        <v>25</v>
      </c>
      <c r="F19" s="24" t="s">
        <v>97</v>
      </c>
      <c r="G19" s="8" t="n">
        <v>75000</v>
      </c>
      <c r="H19" s="8" t="n">
        <f aca="false">E19*G19</f>
        <v>1875000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15000000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9454000</v>
      </c>
      <c r="H41" s="11" t="n">
        <f aca="false">E41*G41</f>
        <v>9454000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52454000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71545325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71546115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-790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158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159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160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155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161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157</v>
      </c>
      <c r="D15" s="23" t="n">
        <v>25</v>
      </c>
      <c r="E15" s="23" t="n">
        <v>25</v>
      </c>
      <c r="F15" s="24" t="s">
        <v>97</v>
      </c>
      <c r="G15" s="8" t="n">
        <v>352000</v>
      </c>
      <c r="H15" s="8" t="n">
        <f aca="false">E15*G15</f>
        <v>8800000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25</v>
      </c>
      <c r="E16" s="26" t="n">
        <v>25</v>
      </c>
      <c r="F16" s="27" t="s">
        <v>97</v>
      </c>
      <c r="G16" s="11" t="n">
        <v>100000</v>
      </c>
      <c r="H16" s="11" t="n">
        <f aca="false">E16*G16</f>
        <v>2500000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25</v>
      </c>
      <c r="E17" s="23" t="n">
        <v>25</v>
      </c>
      <c r="F17" s="24" t="s">
        <v>97</v>
      </c>
      <c r="G17" s="8" t="n">
        <v>28000</v>
      </c>
      <c r="H17" s="8" t="n">
        <f aca="false">E17*G17</f>
        <v>700000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25</v>
      </c>
      <c r="E18" s="26" t="n">
        <v>25</v>
      </c>
      <c r="F18" s="27" t="s">
        <v>97</v>
      </c>
      <c r="G18" s="11" t="n">
        <v>45000</v>
      </c>
      <c r="H18" s="11" t="n">
        <f aca="false">E18*G18</f>
        <v>1125000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25</v>
      </c>
      <c r="E19" s="23" t="n">
        <v>25</v>
      </c>
      <c r="F19" s="24" t="s">
        <v>97</v>
      </c>
      <c r="G19" s="8" t="n">
        <v>75000</v>
      </c>
      <c r="H19" s="8" t="n">
        <f aca="false">E19*G19</f>
        <v>1875000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15000000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54109000</v>
      </c>
      <c r="H41" s="11" t="n">
        <f aca="false">E41*G41</f>
        <v>54109000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97109000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116200325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116200487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-162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162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159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163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155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161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157</v>
      </c>
      <c r="D15" s="23" t="n">
        <v>25</v>
      </c>
      <c r="E15" s="23" t="n">
        <v>25</v>
      </c>
      <c r="F15" s="24" t="s">
        <v>97</v>
      </c>
      <c r="G15" s="8" t="n">
        <v>352000</v>
      </c>
      <c r="H15" s="8" t="n">
        <f aca="false">E15*G15</f>
        <v>8800000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25</v>
      </c>
      <c r="E16" s="26" t="n">
        <v>25</v>
      </c>
      <c r="F16" s="27" t="s">
        <v>97</v>
      </c>
      <c r="G16" s="11" t="n">
        <v>100000</v>
      </c>
      <c r="H16" s="11" t="n">
        <f aca="false">E16*G16</f>
        <v>2500000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25</v>
      </c>
      <c r="E17" s="23" t="n">
        <v>25</v>
      </c>
      <c r="F17" s="24" t="s">
        <v>97</v>
      </c>
      <c r="G17" s="8" t="n">
        <v>28000</v>
      </c>
      <c r="H17" s="8" t="n">
        <f aca="false">E17*G17</f>
        <v>700000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25</v>
      </c>
      <c r="E18" s="26" t="n">
        <v>25</v>
      </c>
      <c r="F18" s="27" t="s">
        <v>97</v>
      </c>
      <c r="G18" s="11" t="n">
        <v>45000</v>
      </c>
      <c r="H18" s="11" t="n">
        <f aca="false">E18*G18</f>
        <v>1125000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25</v>
      </c>
      <c r="E19" s="23" t="n">
        <v>25</v>
      </c>
      <c r="F19" s="24" t="s">
        <v>97</v>
      </c>
      <c r="G19" s="8" t="n">
        <v>75000</v>
      </c>
      <c r="H19" s="8" t="n">
        <f aca="false">E19*G19</f>
        <v>1875000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15000000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54109000</v>
      </c>
      <c r="H41" s="11" t="n">
        <f aca="false">E41*G41</f>
        <v>54109000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97109000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116200325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116200487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-162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164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165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166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79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81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167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96</v>
      </c>
      <c r="D15" s="23" t="n">
        <v>40</v>
      </c>
      <c r="E15" s="23" t="n">
        <v>40</v>
      </c>
      <c r="F15" s="24" t="s">
        <v>97</v>
      </c>
      <c r="G15" s="8" t="n">
        <v>200000</v>
      </c>
      <c r="H15" s="8" t="n">
        <f aca="false">E15*G15</f>
        <v>8000000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40</v>
      </c>
      <c r="E16" s="26" t="n">
        <v>40</v>
      </c>
      <c r="F16" s="27" t="s">
        <v>97</v>
      </c>
      <c r="G16" s="11" t="n">
        <v>65000</v>
      </c>
      <c r="H16" s="11" t="n">
        <f aca="false">E16*G16</f>
        <v>2600000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40</v>
      </c>
      <c r="E17" s="23" t="n">
        <v>40</v>
      </c>
      <c r="F17" s="24" t="s">
        <v>97</v>
      </c>
      <c r="G17" s="8" t="n">
        <v>18000</v>
      </c>
      <c r="H17" s="8" t="n">
        <f aca="false">E17*G17</f>
        <v>720000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40</v>
      </c>
      <c r="E18" s="26" t="n">
        <v>40</v>
      </c>
      <c r="F18" s="27" t="s">
        <v>97</v>
      </c>
      <c r="G18" s="11" t="n">
        <v>30000</v>
      </c>
      <c r="H18" s="11" t="n">
        <f aca="false">E18*G18</f>
        <v>1200000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40</v>
      </c>
      <c r="E19" s="23" t="n">
        <v>40</v>
      </c>
      <c r="F19" s="24" t="s">
        <v>97</v>
      </c>
      <c r="G19" s="8" t="n">
        <v>37000</v>
      </c>
      <c r="H19" s="8" t="n">
        <f aca="false">E19*G19</f>
        <v>1480000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14000000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36" hidden="false" customHeight="true" outlineLevel="0" collapsed="false">
      <c r="B25" s="6" t="s">
        <v>95</v>
      </c>
      <c r="C25" s="22" t="s">
        <v>109</v>
      </c>
      <c r="D25" s="23" t="n">
        <v>0.1</v>
      </c>
      <c r="E25" s="23" t="n">
        <v>0.1</v>
      </c>
      <c r="F25" s="24" t="s">
        <v>110</v>
      </c>
      <c r="G25" s="8" t="n">
        <v>1000000</v>
      </c>
      <c r="H25" s="8" t="n">
        <f aca="false">E25*G25</f>
        <v>100000</v>
      </c>
    </row>
    <row r="26" customFormat="false" ht="36" hidden="false" customHeight="true" outlineLevel="0" collapsed="false">
      <c r="B26" s="9" t="s">
        <v>98</v>
      </c>
      <c r="C26" s="25" t="s">
        <v>168</v>
      </c>
      <c r="D26" s="26" t="n">
        <v>2</v>
      </c>
      <c r="E26" s="26" t="n">
        <v>2</v>
      </c>
      <c r="F26" s="27" t="s">
        <v>110</v>
      </c>
      <c r="G26" s="11" t="n">
        <v>1200000</v>
      </c>
      <c r="H26" s="11" t="n">
        <f aca="false">E26*G26</f>
        <v>2400000</v>
      </c>
    </row>
    <row r="27" customFormat="false" ht="25.5" hidden="false" customHeight="true" outlineLevel="0" collapsed="false">
      <c r="B27" s="28" t="s">
        <v>111</v>
      </c>
      <c r="C27" s="28"/>
      <c r="D27" s="28"/>
      <c r="E27" s="28"/>
      <c r="F27" s="28"/>
      <c r="G27" s="28"/>
      <c r="H27" s="13" t="n">
        <f aca="false">H25+H26</f>
        <v>2500000</v>
      </c>
    </row>
    <row r="29" customFormat="false" ht="21.75" hidden="false" customHeight="true" outlineLevel="0" collapsed="false">
      <c r="B29" s="18" t="s">
        <v>112</v>
      </c>
      <c r="C29" s="18"/>
      <c r="D29" s="18"/>
      <c r="E29" s="18"/>
      <c r="F29" s="18"/>
      <c r="G29" s="18"/>
      <c r="H29" s="18"/>
    </row>
    <row r="30" customFormat="false" ht="27.75" hidden="false" customHeight="true" outlineLevel="0" collapsed="false">
      <c r="B30" s="5" t="s">
        <v>16</v>
      </c>
      <c r="C30" s="5" t="s">
        <v>87</v>
      </c>
      <c r="D30" s="5" t="s">
        <v>88</v>
      </c>
      <c r="E30" s="5" t="s">
        <v>89</v>
      </c>
      <c r="F30" s="5" t="s">
        <v>90</v>
      </c>
      <c r="G30" s="5" t="s">
        <v>91</v>
      </c>
      <c r="H30" s="5" t="s">
        <v>92</v>
      </c>
    </row>
    <row r="31" customFormat="false" ht="21.75" hidden="false" customHeight="true" outlineLevel="0" collapsed="false">
      <c r="B31" s="19" t="s">
        <v>93</v>
      </c>
      <c r="C31" s="20" t="s">
        <v>113</v>
      </c>
      <c r="D31" s="21"/>
      <c r="E31" s="21"/>
      <c r="F31" s="21"/>
      <c r="G31" s="21"/>
      <c r="H31" s="21"/>
    </row>
    <row r="32" customFormat="false" ht="36" hidden="false" customHeight="true" outlineLevel="0" collapsed="false">
      <c r="B32" s="6" t="s">
        <v>95</v>
      </c>
      <c r="C32" s="22" t="s">
        <v>114</v>
      </c>
      <c r="D32" s="23" t="n">
        <v>1</v>
      </c>
      <c r="E32" s="23" t="n">
        <v>1</v>
      </c>
      <c r="F32" s="24" t="s">
        <v>115</v>
      </c>
      <c r="G32" s="8" t="n">
        <v>12500000</v>
      </c>
      <c r="H32" s="8" t="n">
        <f aca="false">E32*G32</f>
        <v>12500000</v>
      </c>
    </row>
    <row r="33" customFormat="false" ht="36" hidden="false" customHeight="true" outlineLevel="0" collapsed="false">
      <c r="B33" s="9" t="s">
        <v>98</v>
      </c>
      <c r="C33" s="25" t="s">
        <v>116</v>
      </c>
      <c r="D33" s="26" t="n">
        <v>1</v>
      </c>
      <c r="E33" s="26" t="n">
        <v>1</v>
      </c>
      <c r="F33" s="27" t="s">
        <v>117</v>
      </c>
      <c r="G33" s="11" t="n">
        <v>1500000</v>
      </c>
      <c r="H33" s="11" t="n">
        <f aca="false">E33*G33</f>
        <v>1500000</v>
      </c>
    </row>
    <row r="34" customFormat="false" ht="21.75" hidden="false" customHeight="true" outlineLevel="0" collapsed="false">
      <c r="B34" s="6" t="s">
        <v>100</v>
      </c>
      <c r="C34" s="22" t="s">
        <v>118</v>
      </c>
      <c r="D34" s="23" t="n">
        <v>1</v>
      </c>
      <c r="E34" s="23" t="n">
        <v>1</v>
      </c>
      <c r="F34" s="24" t="s">
        <v>117</v>
      </c>
      <c r="G34" s="8" t="n">
        <v>10750000</v>
      </c>
      <c r="H34" s="8" t="n">
        <f aca="false">E34*G34</f>
        <v>10750000</v>
      </c>
    </row>
    <row r="35" customFormat="false" ht="25.5" hidden="false" customHeight="true" outlineLevel="0" collapsed="false">
      <c r="B35" s="28" t="s">
        <v>119</v>
      </c>
      <c r="C35" s="28"/>
      <c r="D35" s="28"/>
      <c r="E35" s="28"/>
      <c r="F35" s="28"/>
      <c r="G35" s="28"/>
      <c r="H35" s="13" t="n">
        <f aca="false">H32+H33+H34</f>
        <v>24750000</v>
      </c>
    </row>
    <row r="37" customFormat="false" ht="27.75" hidden="false" customHeight="true" outlineLevel="0" collapsed="false">
      <c r="B37" s="12" t="s">
        <v>120</v>
      </c>
      <c r="C37" s="12"/>
      <c r="D37" s="12"/>
      <c r="E37" s="12"/>
      <c r="F37" s="12"/>
      <c r="G37" s="12"/>
      <c r="H37" s="14" t="n">
        <f aca="false">H20+H27+H35</f>
        <v>41250000</v>
      </c>
    </row>
    <row r="38" customFormat="false" ht="21.75" hidden="false" customHeight="true" outlineLevel="0" collapsed="false">
      <c r="B38" s="29" t="s">
        <v>121</v>
      </c>
      <c r="C38" s="29"/>
      <c r="D38" s="29"/>
      <c r="E38" s="29"/>
      <c r="F38" s="29"/>
      <c r="G38" s="29"/>
      <c r="H38" s="30" t="n">
        <v>41250000</v>
      </c>
    </row>
    <row r="39" customFormat="false" ht="21.75" hidden="false" customHeight="true" outlineLevel="0" collapsed="false">
      <c r="B39" s="31" t="s">
        <v>122</v>
      </c>
      <c r="C39" s="31"/>
      <c r="D39" s="31"/>
      <c r="E39" s="31"/>
      <c r="F39" s="31"/>
      <c r="G39" s="31"/>
      <c r="H39" s="8" t="n">
        <f aca="false">H37-H38</f>
        <v>0</v>
      </c>
    </row>
    <row r="40" customFormat="false" ht="21.75" hidden="false" customHeight="true" outlineLevel="0" collapsed="false">
      <c r="B40" s="32" t="s">
        <v>123</v>
      </c>
      <c r="C40" s="32"/>
      <c r="D40" s="32"/>
      <c r="E40" s="32"/>
      <c r="F40" s="32"/>
      <c r="G40" s="32"/>
      <c r="H40" s="9" t="str">
        <f aca="false">IF(H37&lt;=H38,"OK","OVER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27:G27"/>
    <mergeCell ref="B29:H29"/>
    <mergeCell ref="D31:H31"/>
    <mergeCell ref="B35:G35"/>
    <mergeCell ref="B37:G37"/>
    <mergeCell ref="B38:G38"/>
    <mergeCell ref="B39:G39"/>
    <mergeCell ref="B40:G40"/>
  </mergeCells>
  <conditionalFormatting sqref="H4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169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170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171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172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173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174</v>
      </c>
      <c r="D15" s="23" t="n">
        <v>34</v>
      </c>
      <c r="E15" s="23" t="n">
        <v>34</v>
      </c>
      <c r="F15" s="24" t="s">
        <v>97</v>
      </c>
      <c r="G15" s="8" t="n">
        <v>352000</v>
      </c>
      <c r="H15" s="8" t="n">
        <f aca="false">E15*G15</f>
        <v>11968000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34</v>
      </c>
      <c r="E16" s="26" t="n">
        <v>34</v>
      </c>
      <c r="F16" s="27" t="s">
        <v>97</v>
      </c>
      <c r="G16" s="11" t="n">
        <v>100000</v>
      </c>
      <c r="H16" s="11" t="n">
        <f aca="false">E16*G16</f>
        <v>3400000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34</v>
      </c>
      <c r="E17" s="23" t="n">
        <v>34</v>
      </c>
      <c r="F17" s="24" t="s">
        <v>97</v>
      </c>
      <c r="G17" s="8" t="n">
        <v>28000</v>
      </c>
      <c r="H17" s="8" t="n">
        <f aca="false">E17*G17</f>
        <v>952000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34</v>
      </c>
      <c r="E18" s="26" t="n">
        <v>34</v>
      </c>
      <c r="F18" s="27" t="s">
        <v>97</v>
      </c>
      <c r="G18" s="11" t="n">
        <v>45000</v>
      </c>
      <c r="H18" s="11" t="n">
        <f aca="false">E18*G18</f>
        <v>1530000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34</v>
      </c>
      <c r="E19" s="23" t="n">
        <v>34</v>
      </c>
      <c r="F19" s="24" t="s">
        <v>97</v>
      </c>
      <c r="G19" s="8" t="n">
        <v>75000</v>
      </c>
      <c r="H19" s="8" t="n">
        <f aca="false">E19*G19</f>
        <v>2550000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20400000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7294000</v>
      </c>
      <c r="H41" s="11" t="n">
        <f aca="false">E41*G41</f>
        <v>7294000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50294000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74785325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74785598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-273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175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176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177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178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179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180</v>
      </c>
      <c r="D15" s="23" t="n">
        <v>45</v>
      </c>
      <c r="E15" s="23" t="n">
        <v>45</v>
      </c>
      <c r="F15" s="24" t="s">
        <v>97</v>
      </c>
      <c r="G15" s="8" t="n">
        <v>352000</v>
      </c>
      <c r="H15" s="8" t="n">
        <f aca="false">E15*G15</f>
        <v>15840000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45</v>
      </c>
      <c r="E16" s="26" t="n">
        <v>45</v>
      </c>
      <c r="F16" s="27" t="s">
        <v>97</v>
      </c>
      <c r="G16" s="11" t="n">
        <v>100000</v>
      </c>
      <c r="H16" s="11" t="n">
        <f aca="false">E16*G16</f>
        <v>4500000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45</v>
      </c>
      <c r="E17" s="23" t="n">
        <v>45</v>
      </c>
      <c r="F17" s="24" t="s">
        <v>97</v>
      </c>
      <c r="G17" s="8" t="n">
        <v>28000</v>
      </c>
      <c r="H17" s="8" t="n">
        <f aca="false">E17*G17</f>
        <v>1260000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45</v>
      </c>
      <c r="E18" s="26" t="n">
        <v>45</v>
      </c>
      <c r="F18" s="27" t="s">
        <v>97</v>
      </c>
      <c r="G18" s="11" t="n">
        <v>45000</v>
      </c>
      <c r="H18" s="11" t="n">
        <f aca="false">E18*G18</f>
        <v>2025000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45</v>
      </c>
      <c r="E19" s="23" t="n">
        <v>45</v>
      </c>
      <c r="F19" s="24" t="s">
        <v>97</v>
      </c>
      <c r="G19" s="8" t="n">
        <v>75000</v>
      </c>
      <c r="H19" s="8" t="n">
        <f aca="false">E19*G19</f>
        <v>3375000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27000000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30700000</v>
      </c>
      <c r="H41" s="11" t="n">
        <f aca="false">E41*G41</f>
        <v>30700000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73700000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104791325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104791913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-588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181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176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182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178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179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180</v>
      </c>
      <c r="D15" s="23" t="n">
        <v>45</v>
      </c>
      <c r="E15" s="23" t="n">
        <v>45</v>
      </c>
      <c r="F15" s="24" t="s">
        <v>97</v>
      </c>
      <c r="G15" s="8" t="n">
        <v>352000</v>
      </c>
      <c r="H15" s="8" t="n">
        <f aca="false">E15*G15</f>
        <v>15840000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45</v>
      </c>
      <c r="E16" s="26" t="n">
        <v>45</v>
      </c>
      <c r="F16" s="27" t="s">
        <v>97</v>
      </c>
      <c r="G16" s="11" t="n">
        <v>100000</v>
      </c>
      <c r="H16" s="11" t="n">
        <f aca="false">E16*G16</f>
        <v>4500000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45</v>
      </c>
      <c r="E17" s="23" t="n">
        <v>45</v>
      </c>
      <c r="F17" s="24" t="s">
        <v>97</v>
      </c>
      <c r="G17" s="8" t="n">
        <v>28000</v>
      </c>
      <c r="H17" s="8" t="n">
        <f aca="false">E17*G17</f>
        <v>1260000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45</v>
      </c>
      <c r="E18" s="26" t="n">
        <v>45</v>
      </c>
      <c r="F18" s="27" t="s">
        <v>97</v>
      </c>
      <c r="G18" s="11" t="n">
        <v>45000</v>
      </c>
      <c r="H18" s="11" t="n">
        <f aca="false">E18*G18</f>
        <v>2025000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45</v>
      </c>
      <c r="E19" s="23" t="n">
        <v>45</v>
      </c>
      <c r="F19" s="24" t="s">
        <v>97</v>
      </c>
      <c r="G19" s="8" t="n">
        <v>75000</v>
      </c>
      <c r="H19" s="8" t="n">
        <f aca="false">E19*G19</f>
        <v>3375000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27000000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30700000</v>
      </c>
      <c r="H41" s="11" t="n">
        <f aca="false">E41*G41</f>
        <v>30700000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73700000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104791325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104791913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-588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183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176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184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178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179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180</v>
      </c>
      <c r="D15" s="23" t="n">
        <v>45</v>
      </c>
      <c r="E15" s="23" t="n">
        <v>45</v>
      </c>
      <c r="F15" s="24" t="s">
        <v>97</v>
      </c>
      <c r="G15" s="8" t="n">
        <v>352000</v>
      </c>
      <c r="H15" s="8" t="n">
        <f aca="false">E15*G15</f>
        <v>15840000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45</v>
      </c>
      <c r="E16" s="26" t="n">
        <v>45</v>
      </c>
      <c r="F16" s="27" t="s">
        <v>97</v>
      </c>
      <c r="G16" s="11" t="n">
        <v>100000</v>
      </c>
      <c r="H16" s="11" t="n">
        <f aca="false">E16*G16</f>
        <v>4500000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45</v>
      </c>
      <c r="E17" s="23" t="n">
        <v>45</v>
      </c>
      <c r="F17" s="24" t="s">
        <v>97</v>
      </c>
      <c r="G17" s="8" t="n">
        <v>28000</v>
      </c>
      <c r="H17" s="8" t="n">
        <f aca="false">E17*G17</f>
        <v>1260000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45</v>
      </c>
      <c r="E18" s="26" t="n">
        <v>45</v>
      </c>
      <c r="F18" s="27" t="s">
        <v>97</v>
      </c>
      <c r="G18" s="11" t="n">
        <v>45000</v>
      </c>
      <c r="H18" s="11" t="n">
        <f aca="false">E18*G18</f>
        <v>2025000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45</v>
      </c>
      <c r="E19" s="23" t="n">
        <v>45</v>
      </c>
      <c r="F19" s="24" t="s">
        <v>97</v>
      </c>
      <c r="G19" s="8" t="n">
        <v>75000</v>
      </c>
      <c r="H19" s="8" t="n">
        <f aca="false">E19*G19</f>
        <v>3375000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27000000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30700000</v>
      </c>
      <c r="H41" s="11" t="n">
        <f aca="false">E41*G41</f>
        <v>30700000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73700000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104791325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104791913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-588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185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19.5" hidden="false" customHeight="true" outlineLevel="0" collapsed="false">
      <c r="B4" s="2" t="s">
        <v>75</v>
      </c>
      <c r="C4" s="3" t="s">
        <v>186</v>
      </c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77</v>
      </c>
      <c r="C5" s="3" t="s">
        <v>187</v>
      </c>
      <c r="D5" s="3"/>
      <c r="E5" s="3"/>
      <c r="F5" s="3"/>
      <c r="G5" s="3"/>
      <c r="H5" s="3"/>
    </row>
    <row r="6" customFormat="false" ht="19.5" hidden="false" customHeight="true" outlineLevel="0" collapsed="false">
      <c r="B6" s="2" t="s">
        <v>18</v>
      </c>
      <c r="C6" s="3" t="s">
        <v>127</v>
      </c>
      <c r="D6" s="3"/>
      <c r="E6" s="3"/>
      <c r="F6" s="3"/>
      <c r="G6" s="3"/>
      <c r="H6" s="3"/>
    </row>
    <row r="7" customFormat="false" ht="19.5" hidden="false" customHeight="true" outlineLevel="0" collapsed="false">
      <c r="B7" s="2" t="s">
        <v>80</v>
      </c>
      <c r="C7" s="3" t="s">
        <v>188</v>
      </c>
      <c r="D7" s="3"/>
      <c r="E7" s="3"/>
      <c r="F7" s="3"/>
      <c r="G7" s="3"/>
      <c r="H7" s="3"/>
    </row>
    <row r="8" customFormat="false" ht="19.5" hidden="false" customHeight="true" outlineLevel="0" collapsed="false">
      <c r="B8" s="2" t="s">
        <v>82</v>
      </c>
      <c r="C8" s="3" t="s">
        <v>189</v>
      </c>
      <c r="D8" s="3"/>
      <c r="E8" s="3"/>
      <c r="F8" s="3"/>
      <c r="G8" s="3"/>
      <c r="H8" s="3"/>
    </row>
    <row r="9" customFormat="false" ht="19.5" hidden="false" customHeight="true" outlineLevel="0" collapsed="false">
      <c r="B9" s="2" t="s">
        <v>84</v>
      </c>
      <c r="C9" s="3" t="s">
        <v>85</v>
      </c>
      <c r="D9" s="3"/>
      <c r="E9" s="3"/>
      <c r="F9" s="3"/>
      <c r="G9" s="3"/>
      <c r="H9" s="3"/>
    </row>
    <row r="10" customFormat="false" ht="19.5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2" customFormat="false" ht="21.75" hidden="false" customHeight="true" outlineLevel="0" collapsed="false">
      <c r="B12" s="18" t="s">
        <v>86</v>
      </c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B13" s="5" t="s">
        <v>16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customFormat="false" ht="21.75" hidden="false" customHeight="true" outlineLevel="0" collapsed="false">
      <c r="B14" s="19" t="s">
        <v>93</v>
      </c>
      <c r="C14" s="20" t="s">
        <v>94</v>
      </c>
      <c r="D14" s="21"/>
      <c r="E14" s="21"/>
      <c r="F14" s="21"/>
      <c r="G14" s="21"/>
      <c r="H14" s="21"/>
    </row>
    <row r="15" customFormat="false" ht="36" hidden="false" customHeight="true" outlineLevel="0" collapsed="false">
      <c r="B15" s="6" t="s">
        <v>95</v>
      </c>
      <c r="C15" s="22" t="s">
        <v>190</v>
      </c>
      <c r="D15" s="23" t="n">
        <v>42</v>
      </c>
      <c r="E15" s="23" t="n">
        <v>42</v>
      </c>
      <c r="F15" s="24" t="s">
        <v>97</v>
      </c>
      <c r="G15" s="8" t="n">
        <v>352000</v>
      </c>
      <c r="H15" s="8" t="n">
        <f aca="false">E15*G15</f>
        <v>14784000</v>
      </c>
    </row>
    <row r="16" customFormat="false" ht="27.75" hidden="false" customHeight="true" outlineLevel="0" collapsed="false">
      <c r="B16" s="9" t="s">
        <v>98</v>
      </c>
      <c r="C16" s="25" t="s">
        <v>99</v>
      </c>
      <c r="D16" s="26" t="n">
        <v>42</v>
      </c>
      <c r="E16" s="26" t="n">
        <v>42</v>
      </c>
      <c r="F16" s="27" t="s">
        <v>97</v>
      </c>
      <c r="G16" s="11" t="n">
        <v>100000</v>
      </c>
      <c r="H16" s="11" t="n">
        <f aca="false">E16*G16</f>
        <v>4200000</v>
      </c>
    </row>
    <row r="17" customFormat="false" ht="27.75" hidden="false" customHeight="true" outlineLevel="0" collapsed="false">
      <c r="B17" s="6" t="s">
        <v>100</v>
      </c>
      <c r="C17" s="22" t="s">
        <v>101</v>
      </c>
      <c r="D17" s="23" t="n">
        <v>42</v>
      </c>
      <c r="E17" s="23" t="n">
        <v>42</v>
      </c>
      <c r="F17" s="24" t="s">
        <v>97</v>
      </c>
      <c r="G17" s="8" t="n">
        <v>28000</v>
      </c>
      <c r="H17" s="8" t="n">
        <f aca="false">E17*G17</f>
        <v>1176000</v>
      </c>
    </row>
    <row r="18" customFormat="false" ht="27.75" hidden="false" customHeight="true" outlineLevel="0" collapsed="false">
      <c r="B18" s="9" t="s">
        <v>102</v>
      </c>
      <c r="C18" s="25" t="s">
        <v>103</v>
      </c>
      <c r="D18" s="26" t="n">
        <v>42</v>
      </c>
      <c r="E18" s="26" t="n">
        <v>42</v>
      </c>
      <c r="F18" s="27" t="s">
        <v>97</v>
      </c>
      <c r="G18" s="11" t="n">
        <v>45000</v>
      </c>
      <c r="H18" s="11" t="n">
        <f aca="false">E18*G18</f>
        <v>1890000</v>
      </c>
    </row>
    <row r="19" customFormat="false" ht="27.75" hidden="false" customHeight="true" outlineLevel="0" collapsed="false">
      <c r="B19" s="6" t="s">
        <v>104</v>
      </c>
      <c r="C19" s="22" t="s">
        <v>105</v>
      </c>
      <c r="D19" s="23" t="n">
        <v>42</v>
      </c>
      <c r="E19" s="23" t="n">
        <v>42</v>
      </c>
      <c r="F19" s="24" t="s">
        <v>97</v>
      </c>
      <c r="G19" s="8" t="n">
        <v>75000</v>
      </c>
      <c r="H19" s="8" t="n">
        <f aca="false">E19*G19</f>
        <v>3150000</v>
      </c>
    </row>
    <row r="20" customFormat="false" ht="25.5" hidden="false" customHeight="true" outlineLevel="0" collapsed="false">
      <c r="B20" s="28" t="s">
        <v>106</v>
      </c>
      <c r="C20" s="28"/>
      <c r="D20" s="28"/>
      <c r="E20" s="28"/>
      <c r="F20" s="28"/>
      <c r="G20" s="28"/>
      <c r="H20" s="13" t="n">
        <f aca="false">H15+H16+H17+H18+H19</f>
        <v>25200000</v>
      </c>
    </row>
    <row r="22" customFormat="false" ht="21.75" hidden="false" customHeight="true" outlineLevel="0" collapsed="false">
      <c r="B22" s="18" t="s">
        <v>107</v>
      </c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B23" s="5" t="s">
        <v>16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92</v>
      </c>
    </row>
    <row r="24" customFormat="false" ht="21.75" hidden="false" customHeight="true" outlineLevel="0" collapsed="false">
      <c r="B24" s="19" t="s">
        <v>93</v>
      </c>
      <c r="C24" s="20" t="s">
        <v>108</v>
      </c>
      <c r="D24" s="21"/>
      <c r="E24" s="21"/>
      <c r="F24" s="21"/>
      <c r="G24" s="21"/>
      <c r="H24" s="21"/>
    </row>
    <row r="25" customFormat="false" ht="27.75" hidden="false" customHeight="true" outlineLevel="0" collapsed="false">
      <c r="B25" s="6" t="s">
        <v>95</v>
      </c>
      <c r="C25" s="22" t="s">
        <v>130</v>
      </c>
      <c r="D25" s="23" t="n">
        <v>5.07</v>
      </c>
      <c r="E25" s="23" t="n">
        <v>5.07</v>
      </c>
      <c r="F25" s="24" t="s">
        <v>110</v>
      </c>
      <c r="G25" s="8" t="n">
        <v>47500</v>
      </c>
      <c r="H25" s="8" t="n">
        <f aca="false">E25*G25</f>
        <v>240825</v>
      </c>
    </row>
    <row r="26" customFormat="false" ht="21.75" hidden="false" customHeight="true" outlineLevel="0" collapsed="false">
      <c r="B26" s="9" t="s">
        <v>98</v>
      </c>
      <c r="C26" s="25" t="s">
        <v>131</v>
      </c>
      <c r="D26" s="26" t="n">
        <v>0.39</v>
      </c>
      <c r="E26" s="26" t="n">
        <v>0.39</v>
      </c>
      <c r="F26" s="27" t="s">
        <v>110</v>
      </c>
      <c r="G26" s="11" t="n">
        <v>90000</v>
      </c>
      <c r="H26" s="11" t="n">
        <f aca="false">E26*G26</f>
        <v>35100</v>
      </c>
    </row>
    <row r="27" customFormat="false" ht="21.75" hidden="false" customHeight="true" outlineLevel="0" collapsed="false">
      <c r="B27" s="6" t="s">
        <v>100</v>
      </c>
      <c r="C27" s="22" t="s">
        <v>132</v>
      </c>
      <c r="D27" s="23" t="n">
        <v>0.08</v>
      </c>
      <c r="E27" s="23" t="n">
        <v>0.08</v>
      </c>
      <c r="F27" s="24" t="s">
        <v>110</v>
      </c>
      <c r="G27" s="8" t="n">
        <v>130000</v>
      </c>
      <c r="H27" s="8" t="n">
        <f aca="false">E27*G27</f>
        <v>10400</v>
      </c>
    </row>
    <row r="28" customFormat="false" ht="27.75" hidden="false" customHeight="true" outlineLevel="0" collapsed="false">
      <c r="B28" s="9" t="s">
        <v>102</v>
      </c>
      <c r="C28" s="25" t="s">
        <v>133</v>
      </c>
      <c r="D28" s="26" t="n">
        <v>3.9</v>
      </c>
      <c r="E28" s="26" t="n">
        <v>3.9</v>
      </c>
      <c r="F28" s="27" t="s">
        <v>110</v>
      </c>
      <c r="G28" s="11" t="n">
        <v>700000</v>
      </c>
      <c r="H28" s="11" t="n">
        <f aca="false">E28*G28</f>
        <v>2730000</v>
      </c>
    </row>
    <row r="29" customFormat="false" ht="36" hidden="false" customHeight="true" outlineLevel="0" collapsed="false">
      <c r="B29" s="6" t="s">
        <v>104</v>
      </c>
      <c r="C29" s="22" t="s">
        <v>134</v>
      </c>
      <c r="D29" s="23" t="n">
        <v>0.975</v>
      </c>
      <c r="E29" s="23" t="n">
        <v>0.975</v>
      </c>
      <c r="F29" s="24" t="s">
        <v>110</v>
      </c>
      <c r="G29" s="8" t="n">
        <v>1000000</v>
      </c>
      <c r="H29" s="8" t="n">
        <f aca="false">E29*G29</f>
        <v>975000</v>
      </c>
    </row>
    <row r="30" customFormat="false" ht="36" hidden="false" customHeight="true" outlineLevel="0" collapsed="false">
      <c r="B30" s="9" t="s">
        <v>135</v>
      </c>
      <c r="C30" s="25" t="s">
        <v>109</v>
      </c>
      <c r="D30" s="26" t="n">
        <v>0.1</v>
      </c>
      <c r="E30" s="26" t="n">
        <v>0.1</v>
      </c>
      <c r="F30" s="27" t="s">
        <v>110</v>
      </c>
      <c r="G30" s="11" t="n">
        <v>1000000</v>
      </c>
      <c r="H30" s="11" t="n">
        <f aca="false">E30*G30</f>
        <v>100000</v>
      </c>
    </row>
    <row r="31" customFormat="false" ht="25.5" hidden="false" customHeight="true" outlineLevel="0" collapsed="false">
      <c r="B31" s="28" t="s">
        <v>111</v>
      </c>
      <c r="C31" s="28"/>
      <c r="D31" s="28"/>
      <c r="E31" s="28"/>
      <c r="F31" s="28"/>
      <c r="G31" s="28"/>
      <c r="H31" s="13" t="n">
        <f aca="false">H25+H26+H27+H28+H29+H30</f>
        <v>4091325</v>
      </c>
    </row>
    <row r="33" customFormat="false" ht="21.75" hidden="false" customHeight="true" outlineLevel="0" collapsed="false">
      <c r="B33" s="18" t="s">
        <v>112</v>
      </c>
      <c r="C33" s="18"/>
      <c r="D33" s="18"/>
      <c r="E33" s="18"/>
      <c r="F33" s="18"/>
      <c r="G33" s="18"/>
      <c r="H33" s="18"/>
    </row>
    <row r="34" customFormat="false" ht="27.75" hidden="false" customHeight="true" outlineLevel="0" collapsed="false">
      <c r="B34" s="5" t="s">
        <v>16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91</v>
      </c>
      <c r="H34" s="5" t="s">
        <v>92</v>
      </c>
    </row>
    <row r="35" customFormat="false" ht="21.75" hidden="false" customHeight="true" outlineLevel="0" collapsed="false">
      <c r="B35" s="19" t="s">
        <v>93</v>
      </c>
      <c r="C35" s="20" t="s">
        <v>136</v>
      </c>
      <c r="D35" s="21"/>
      <c r="E35" s="21"/>
      <c r="F35" s="21"/>
      <c r="G35" s="21"/>
      <c r="H35" s="21"/>
    </row>
    <row r="36" customFormat="false" ht="36" hidden="false" customHeight="true" outlineLevel="0" collapsed="false">
      <c r="B36" s="6" t="s">
        <v>95</v>
      </c>
      <c r="C36" s="22" t="s">
        <v>137</v>
      </c>
      <c r="D36" s="23" t="n">
        <v>1</v>
      </c>
      <c r="E36" s="23" t="n">
        <v>1</v>
      </c>
      <c r="F36" s="24" t="s">
        <v>115</v>
      </c>
      <c r="G36" s="8" t="n">
        <v>24000000</v>
      </c>
      <c r="H36" s="8" t="n">
        <f aca="false">E36*G36</f>
        <v>24000000</v>
      </c>
    </row>
    <row r="37" customFormat="false" ht="27.75" hidden="false" customHeight="true" outlineLevel="0" collapsed="false">
      <c r="B37" s="9" t="s">
        <v>98</v>
      </c>
      <c r="C37" s="25" t="s">
        <v>138</v>
      </c>
      <c r="D37" s="26" t="n">
        <v>1</v>
      </c>
      <c r="E37" s="26" t="n">
        <v>1</v>
      </c>
      <c r="F37" s="27" t="s">
        <v>117</v>
      </c>
      <c r="G37" s="11" t="n">
        <v>1500000</v>
      </c>
      <c r="H37" s="11" t="n">
        <f aca="false">E37*G37</f>
        <v>1500000</v>
      </c>
    </row>
    <row r="38" customFormat="false" ht="36" hidden="false" customHeight="true" outlineLevel="0" collapsed="false">
      <c r="B38" s="6" t="s">
        <v>100</v>
      </c>
      <c r="C38" s="22" t="s">
        <v>139</v>
      </c>
      <c r="D38" s="23" t="n">
        <v>5</v>
      </c>
      <c r="E38" s="23" t="n">
        <v>5</v>
      </c>
      <c r="F38" s="24" t="s">
        <v>115</v>
      </c>
      <c r="G38" s="8" t="n">
        <v>2100000</v>
      </c>
      <c r="H38" s="8" t="n">
        <f aca="false">E38*G38</f>
        <v>10500000</v>
      </c>
    </row>
    <row r="39" customFormat="false" ht="36" hidden="false" customHeight="true" outlineLevel="0" collapsed="false">
      <c r="B39" s="9" t="s">
        <v>102</v>
      </c>
      <c r="C39" s="25" t="s">
        <v>140</v>
      </c>
      <c r="D39" s="26" t="n">
        <v>1</v>
      </c>
      <c r="E39" s="26" t="n">
        <v>1</v>
      </c>
      <c r="F39" s="27" t="s">
        <v>141</v>
      </c>
      <c r="G39" s="11" t="n">
        <v>4500000</v>
      </c>
      <c r="H39" s="11" t="n">
        <f aca="false">E39*G39</f>
        <v>4500000</v>
      </c>
    </row>
    <row r="40" customFormat="false" ht="36" hidden="false" customHeight="true" outlineLevel="0" collapsed="false">
      <c r="B40" s="6" t="s">
        <v>104</v>
      </c>
      <c r="C40" s="22" t="s">
        <v>142</v>
      </c>
      <c r="D40" s="23" t="n">
        <v>1</v>
      </c>
      <c r="E40" s="23" t="n">
        <v>1</v>
      </c>
      <c r="F40" s="24" t="s">
        <v>117</v>
      </c>
      <c r="G40" s="8" t="n">
        <v>2500000</v>
      </c>
      <c r="H40" s="8" t="n">
        <f aca="false">E40*G40</f>
        <v>2500000</v>
      </c>
    </row>
    <row r="41" customFormat="false" ht="21.75" hidden="false" customHeight="true" outlineLevel="0" collapsed="false">
      <c r="B41" s="9" t="s">
        <v>135</v>
      </c>
      <c r="C41" s="25" t="s">
        <v>118</v>
      </c>
      <c r="D41" s="26" t="n">
        <v>1</v>
      </c>
      <c r="E41" s="26" t="n">
        <v>1</v>
      </c>
      <c r="F41" s="27" t="s">
        <v>117</v>
      </c>
      <c r="G41" s="11" t="n">
        <v>3648000</v>
      </c>
      <c r="H41" s="11" t="n">
        <f aca="false">E41*G41</f>
        <v>3648000</v>
      </c>
    </row>
    <row r="42" customFormat="false" ht="25.5" hidden="false" customHeight="true" outlineLevel="0" collapsed="false">
      <c r="B42" s="28" t="s">
        <v>119</v>
      </c>
      <c r="C42" s="28"/>
      <c r="D42" s="28"/>
      <c r="E42" s="28"/>
      <c r="F42" s="28"/>
      <c r="G42" s="28"/>
      <c r="H42" s="13" t="n">
        <f aca="false">H36+H37+H38+H39+H40+H41</f>
        <v>46648000</v>
      </c>
    </row>
    <row r="44" customFormat="false" ht="27.75" hidden="false" customHeight="true" outlineLevel="0" collapsed="false">
      <c r="B44" s="12" t="s">
        <v>120</v>
      </c>
      <c r="C44" s="12"/>
      <c r="D44" s="12"/>
      <c r="E44" s="12"/>
      <c r="F44" s="12"/>
      <c r="G44" s="12"/>
      <c r="H44" s="14" t="n">
        <f aca="false">H20+H31+H42</f>
        <v>75939325</v>
      </c>
    </row>
    <row r="45" customFormat="false" ht="21.75" hidden="false" customHeight="true" outlineLevel="0" collapsed="false">
      <c r="B45" s="29" t="s">
        <v>121</v>
      </c>
      <c r="C45" s="29"/>
      <c r="D45" s="29"/>
      <c r="E45" s="29"/>
      <c r="F45" s="29"/>
      <c r="G45" s="29"/>
      <c r="H45" s="30" t="n">
        <v>75939562</v>
      </c>
    </row>
    <row r="46" customFormat="false" ht="21.75" hidden="false" customHeight="true" outlineLevel="0" collapsed="false">
      <c r="B46" s="31" t="s">
        <v>122</v>
      </c>
      <c r="C46" s="31"/>
      <c r="D46" s="31"/>
      <c r="E46" s="31"/>
      <c r="F46" s="31"/>
      <c r="G46" s="31"/>
      <c r="H46" s="8" t="n">
        <f aca="false">H44-H45</f>
        <v>-237</v>
      </c>
    </row>
    <row r="47" customFormat="false" ht="21.75" hidden="false" customHeight="true" outlineLevel="0" collapsed="false">
      <c r="B47" s="32" t="s">
        <v>123</v>
      </c>
      <c r="C47" s="32"/>
      <c r="D47" s="32"/>
      <c r="E47" s="32"/>
      <c r="F47" s="32"/>
      <c r="G47" s="32"/>
      <c r="H47" s="9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2026-09-08T08:32:32Z</dcterms:created>
  <dc:creator>Z.ai</dc:creator>
  <dc:description/>
  <dc:language>en-US</dc:language>
  <cp:lastModifiedBy/>
  <dcterms:modified xsi:type="dcterms:W3CDTF">2026-09-08T08:32:32Z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
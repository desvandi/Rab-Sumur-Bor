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INGKASAN" sheetId="1" state="visible" r:id="rId3"/>
    <sheet name="Master of Price" sheetId="2" state="visible" r:id="rId4"/>
    <sheet name="Rincian Harga" sheetId="3" state="visible" r:id="rId5"/>
    <sheet name="L01_Lestari" sheetId="4" state="visible" r:id="rId6"/>
    <sheet name="L02_TriMakmur" sheetId="5" state="visible" r:id="rId7"/>
    <sheet name="L03_Sepakat" sheetId="6" state="visible" r:id="rId8"/>
    <sheet name="L04_HarapanMakmur" sheetId="7" state="visible" r:id="rId9"/>
    <sheet name="L05a_DianBelato" sheetId="8" state="visible" r:id="rId10"/>
    <sheet name="L05b_DianBelato" sheetId="9" state="visible" r:id="rId11"/>
    <sheet name="L06_PayoLebar" sheetId="10" state="visible" r:id="rId12"/>
    <sheet name="L07_PudingMas" sheetId="11" state="visible" r:id="rId13"/>
    <sheet name="L08a_TanjungAur" sheetId="12" state="visible" r:id="rId14"/>
    <sheet name="L08b_TanjungAur" sheetId="13" state="visible" r:id="rId15"/>
    <sheet name="L08c_TanjungAur" sheetId="14" state="visible" r:id="rId16"/>
    <sheet name="L09_BerkatMulia" sheetId="15" state="visible" r:id="rId1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<sst xmlns="http://schemas.openxmlformats.org/spreadsheetml/2006/main" count="1945" uniqueCount="614">
  <si>
    <t xml:space="preserve">RINGKASAN RAB - 12 PEKERJAAN DI 9 LOKASI</t>
  </si>
  <si>
    <t xml:space="preserve">Pekerjaan Utama</t>
  </si>
  <si>
    <t xml:space="preserve">Pembuatan Sumur Bor + Pompa (Hybrid/Diesel/Submersible) + Panel Surya (Hybrid) + Pengecoran &amp; Pembetonan</t>
  </si>
  <si>
    <t xml:space="preserve">Wilayah</t>
  </si>
  <si>
    <t xml:space="preserve">9 Lokasi di Kabupaten Tebo, Provinsi Jambi</t>
  </si>
  <si>
    <t xml:space="preserve">Sumber Harga Satuan</t>
  </si>
  <si>
    <t xml:space="preserve">HSP Kab. Tebo / DPU Jambi (estimasi 2024-2025)</t>
  </si>
  <si>
    <t xml:space="preserve">Faktor Biaya</t>
  </si>
  <si>
    <t xml:space="preserve">All-in (material + upah + alat + overhead &amp; profit sudah termasuk)</t>
  </si>
  <si>
    <t xml:space="preserve">PPN</t>
  </si>
  <si>
    <t xml:space="preserve">Tidak dikenakan (0%)</t>
  </si>
  <si>
    <t xml:space="preserve">Volume Pengecoran</t>
  </si>
  <si>
    <t xml:space="preserve">Mengacu ke dokumen draft proyek Tri Makmur (denah 425x225 cm, perimeter 13 m)</t>
  </si>
  <si>
    <t xml:space="preserve">Target Anggaran</t>
  </si>
  <si>
    <t xml:space="preserve">Dibulatkan per jutaan ke bawah per pekerjaan</t>
  </si>
  <si>
    <t xml:space="preserve">REKAPITULASI 12 PEKERJAAN</t>
  </si>
  <si>
    <t xml:space="preserve">No.</t>
  </si>
  <si>
    <t xml:space="preserve">Lokasi (Poktan, Desa, Kec.)</t>
  </si>
  <si>
    <t xml:space="preserve">Tipe Pekerjaan</t>
  </si>
  <si>
    <t xml:space="preserve">Paket</t>
  </si>
  <si>
    <t xml:space="preserve">Sumur Bor (Rp)</t>
  </si>
  <si>
    <t xml:space="preserve">Pengecoran (Rp)</t>
  </si>
  <si>
    <t xml:space="preserve">Solar/Diesel (Rp)</t>
  </si>
  <si>
    <t xml:space="preserve">Total (Rp)</t>
  </si>
  <si>
    <t xml:space="preserve">Anggaran Maks (Rp)</t>
  </si>
  <si>
    <t xml:space="preserve">Selisih (Rp)</t>
  </si>
  <si>
    <t xml:space="preserve">Status</t>
  </si>
  <si>
    <t xml:space="preserve">11</t>
  </si>
  <si>
    <t xml:space="preserve">Poktan Lestari, Desa Teluk Singkawang, Kec. Sumay</t>
  </si>
  <si>
    <t xml:space="preserve">Diesel JD330</t>
  </si>
  <si>
    <t xml:space="preserve">22</t>
  </si>
  <si>
    <t xml:space="preserve">Poktan Tri Makmur, Desa Teluk Rendah Ilir, Kec. Tebo Ilir</t>
  </si>
  <si>
    <t xml:space="preserve">Hybrid + Solar</t>
  </si>
  <si>
    <t xml:space="preserve">33</t>
  </si>
  <si>
    <t xml:space="preserve">Poktan Sepakat, Desa Teluk Rendah Ilir, Kec. Tebo Ilir</t>
  </si>
  <si>
    <t xml:space="preserve">Submersible + PLN</t>
  </si>
  <si>
    <t xml:space="preserve">44</t>
  </si>
  <si>
    <t xml:space="preserve">Poktan Harapan Makmur, Desa Tuo Ilir, Kec. Tebo Ilir</t>
  </si>
  <si>
    <t xml:space="preserve">5a</t>
  </si>
  <si>
    <t xml:space="preserve">Poktan Dian Belato (Paket 1), Desa Teluk Rendah Pasar, Kec. Tebo Ilir</t>
  </si>
  <si>
    <t xml:space="preserve">5b</t>
  </si>
  <si>
    <t xml:space="preserve">Poktan Dian Belato (Paket 2), Desa Teluk Rendah Pasar, Kec. Tebo Ilir</t>
  </si>
  <si>
    <t xml:space="preserve">66</t>
  </si>
  <si>
    <t xml:space="preserve">Poktan Payo Lebar, Desa Kuamang, Kec. VII Koto</t>
  </si>
  <si>
    <t xml:space="preserve">77</t>
  </si>
  <si>
    <t xml:space="preserve">Poktan Puding Mas, Desa Pagar Puding Lamo, Kec. Serai Serumpun</t>
  </si>
  <si>
    <t xml:space="preserve">8a</t>
  </si>
  <si>
    <t xml:space="preserve">Poktan Tanjung Aur Indah (Paket 1), Desa Tanjung Aur Seberang, Kec. Serai Serumpun</t>
  </si>
  <si>
    <t xml:space="preserve">8b</t>
  </si>
  <si>
    <t xml:space="preserve">Poktan Tanjung Aur Indah (Paket 2), Desa Tanjung Aur Seberang, Kec. Serai Serumpun</t>
  </si>
  <si>
    <t xml:space="preserve">8c</t>
  </si>
  <si>
    <t xml:space="preserve">Poktan Tanjung Aur Indah (Paket 3), Desa Tanjung Aur Seberang, Kec. Serai Serumpun</t>
  </si>
  <si>
    <t xml:space="preserve">99</t>
  </si>
  <si>
    <t xml:space="preserve">Poktan Berkat Mulia, Desa Pagar Puding, Kec. Tebo Ulu</t>
  </si>
  <si>
    <t xml:space="preserve">GRAND TOTAL</t>
  </si>
  <si>
    <t xml:space="preserve">CATATAN:</t>
  </si>
  <si>
    <t xml:space="preserve">1. Total 12 pekerjaan di 9 lokasi: 9 lokasi tunggal + 2 paket (L5 Dian Belato) + 3 paket (L8 Tanjung Aur) = 12 pekerjaan.</t>
  </si>
  <si>
    <t xml:space="preserve">2. Lokasi 1, 6: Pompa Diesel JD330 35 HP, TIDAK pakai panel surya, TIDAK ada rumah pompa. L1 tanpa bak, L6 dengan bak penampung 2x1x1 m.</t>
  </si>
  <si>
    <t xml:space="preserve">3. Lokasi 3: Pompa Submersible 4" 5,5 HP + Instalasi PLN/Genset, TIDAK pakai panel surya, hanya cor penutup sumur 1x1x0,1 m.</t>
  </si>
  <si>
    <t xml:space="preserve">4. Lokasi 2,4,5,7,8,9: Pompa Submersible Hybrid 2 HP (1.492 W) + 5 Panel Surya 550 Wp + Rangka Galvanis/Hollow.</t>
  </si>
  <si>
    <t xml:space="preserve">5. Volume pengecoran HYBRID mengacu ke dokumen draft proyek Tri Makmur (denah 425x225 cm, perimeter 13 m).</t>
  </si>
  <si>
    <t xml:space="preserve">6. TIDAK ada rumah pompa di SEMUA pekerjaan. Diesel engine (L1, L6) &amp; rangka panel surya (HYBRID) dipasang tanpa dinding/atap.</t>
  </si>
  <si>
    <t xml:space="preserve">7. TIDAK menggunakan besi tulangan pada pengecoran dan pembetonan. Semua struktur beton plain concrete fc 10 MPa (pondasi, balok/sloof, cor penutup sumur, bak penampung).</t>
  </si>
  <si>
    <t xml:space="preserve">8. Pengecoran HYBRID: galian + pasir urug + batu kosong + pondasi batu kali menerus + balok/sloof + cor penutup sumur (TANPA kolom &amp; plat lantai karena tidak ada rumah pompa).</t>
  </si>
  <si>
    <t xml:space="preserve">9. Pengecoran DIESEL: HANYA cor penutup sumur (+ bak penampung untuk L6). TIDAK ada pondasi/balok/sloof (karena tidak pakai panel surya &amp; tidak ada rumah pompa).</t>
  </si>
  <si>
    <t xml:space="preserve">10. Pengecoran SUBMERSIBLE (L3): HANYA cor penutup sumur.</t>
  </si>
  <si>
    <t xml:space="preserve">11. Harga satuan HSP Kab. Tebo / DPU Jambi (estimasi 2024-2025), all-in (inc. material + upah + alat).</t>
  </si>
  <si>
    <t xml:space="preserve">12. TIDAK dikenakan PPN (0%) sesuai anggaran pemberi kerja.</t>
  </si>
  <si>
    <t xml:space="preserve">13. Anggaran Lokasi 5 (Dian Belato) = Rp 232.400.974 total 2 paket -&gt; Rp 116.200.487 per paket.</t>
  </si>
  <si>
    <t xml:space="preserve">14. Anggaran Lokasi 8 (Tanjung Aur) = Rp 314.375.738 total 3 paket -&gt; Rp 104.791.913 per paket.</t>
  </si>
  <si>
    <t xml:space="preserve">15. Lokasi 1 &amp; 6 tidak menyebut kedalaman sumur -&gt; asumsi 40 m (standar DAK Pertanian).</t>
  </si>
  <si>
    <t xml:space="preserve">16. Setiap sheet detail berisi: 3 kelompok pekerjaan + kontrol anggaran (Total vs Maks + Status OK/OVER BUDGET).</t>
  </si>
  <si>
    <t xml:space="preserve">17. OVERHEAD: dihitung otomatis per lokasi = 'Anggaran Maks' (kolom J sheet ini) - Sub Total pekerjaan (tanpa overhead). Berfungsi menutup selisih total standar HSP Jambi vs anggaran ASLI pemberi kerja. Jika hasil &lt; 0 (negatif) -&gt; pekerjaan OVER BUDGET; nilai negatif = besarnya kekurangan dana.</t>
  </si>
  <si>
    <t xml:space="preserve">18. Total tiap pekerjaan otomatis sama dengan Anggaran Maks (overhead sebagai penyeimbang). Status OVER berarti nilai pekerjaan riil melebihi anggaran - lihat nilai overhead negatif di sheet lokasi terkait (detail komponen harga lihat sheet 'Rincian Harga').</t>
  </si>
  <si>
    <t xml:space="preserve">Master of Price | Daftar Harga Satuan Seluruh Item Proyek</t>
  </si>
  <si>
    <t xml:space="preserve">Fungsi</t>
  </si>
  <si>
    <t xml:space="preserve">Sumber tunggal harga satuan seluruh item proyek (single source of truth).</t>
  </si>
  <si>
    <t xml:space="preserve">Cara Pakai</t>
  </si>
  <si>
    <t xml:space="preserve">Ubah harga komponen pada sheet 'Rincian Harga' (kolom Harga) - subtotal item di sheet ini, seluruh sheet lokasi (L01-L09), dan RINGKASAN otomatis ikut berubah. Kolom Harga Satuan di sheet ini berisi formula link ke subtotal item di sheet 'Rincian Harga'.</t>
  </si>
  <si>
    <t xml:space="preserve">Sumber Harga</t>
  </si>
  <si>
    <t xml:space="preserve">HSP Kab. Tebo / DPU Jambi (estimasi 2024-2025), all-in (inc. OVW &amp; profit)</t>
  </si>
  <si>
    <t xml:space="preserve">Pengecualian</t>
  </si>
  <si>
    <t xml:space="preserve">Item 'Overhead (lump sum all-in)' TIDAK dihubungkan ke sheet ini - dihitung otomatis per lokasi: Overhead = Anggaran Maksimal (kolom J RINGKASAN) - Sub Total pekerjaan. Jika overhead &lt; 0 (negatif) maka status pekerjaan = OVER BUDGET (lihat catatan no. 17 di RINGKASAN).</t>
  </si>
  <si>
    <t xml:space="preserve">DAFTAR HARGA SATUAN ITEM (MASTER)</t>
  </si>
  <si>
    <t xml:space="preserve">Kode Item</t>
  </si>
  <si>
    <t xml:space="preserve">Kelompok Pekerjaan</t>
  </si>
  <si>
    <t xml:space="preserve">Uraian Item</t>
  </si>
  <si>
    <t xml:space="preserve">Satuan</t>
  </si>
  <si>
    <t xml:space="preserve">Harga Satuan (Rp)</t>
  </si>
  <si>
    <t xml:space="preserve">ITM-01</t>
  </si>
  <si>
    <t xml:space="preserve">Pekerjaan Sumur Bor</t>
  </si>
  <si>
    <t xml:space="preserve">Pemboran tanah Ø 8 inch s/d kedalaman 40 m (termasuk mobilisasi alat, pengukuran, penyiapan lahan, developing &amp; pumping test)</t>
  </si>
  <si>
    <t xml:space="preserve">m'</t>
  </si>
  <si>
    <t xml:space="preserve">ITM-02</t>
  </si>
  <si>
    <t xml:space="preserve">Pipa PVC AW Ø 6 inch (Casing) lengkap dengan fitting</t>
  </si>
  <si>
    <t xml:space="preserve">ITM-03</t>
  </si>
  <si>
    <t xml:space="preserve">Pipa PVC AW Ø 2 inch (Outlet) lengkap dengan fitting</t>
  </si>
  <si>
    <t xml:space="preserve">ITM-04</t>
  </si>
  <si>
    <t xml:space="preserve">Pemasangan kerikil filter (gravel pack) di annulus</t>
  </si>
  <si>
    <t xml:space="preserve">ITM-05</t>
  </si>
  <si>
    <t xml:space="preserve">Pengecoran semen annulus (grouting) antara casing &amp; dinding bor</t>
  </si>
  <si>
    <t xml:space="preserve">ITM-06</t>
  </si>
  <si>
    <t xml:space="preserve">Pemboran tanah Ø 8 inch s/d kedalaman 25 m (termasuk mobilisasi alat, pengukuran, penyiapan lahan, developing &amp; pumping test)</t>
  </si>
  <si>
    <t xml:space="preserve">ITM-07</t>
  </si>
  <si>
    <t xml:space="preserve">Pemboran tanah Ø 8 inch s/d kedalaman 34 m (termasuk mobilisasi alat, pengukuran, penyiapan lahan, developing &amp; pumping test)</t>
  </si>
  <si>
    <t xml:space="preserve">ITM-08</t>
  </si>
  <si>
    <t xml:space="preserve">Pemboran tanah Ø 8 inch s/d kedalaman 45 m (termasuk mobilisasi alat, pengukuran, penyiapan lahan, developing &amp; pumping test)</t>
  </si>
  <si>
    <t xml:space="preserve">ITM-09</t>
  </si>
  <si>
    <t xml:space="preserve">Pemboran tanah Ø 8 inch s/d kedalaman 42 m (termasuk mobilisasi alat, pengukuran, penyiapan lahan, developing &amp; pumping test)</t>
  </si>
  <si>
    <t xml:space="preserve">ITM-10</t>
  </si>
  <si>
    <t xml:space="preserve">Pekerjaan Pengecoran &amp; Pembetonan</t>
  </si>
  <si>
    <t xml:space="preserve">Cor penutup sumur 1 × 1 m, T = 10 cm, fc' 10 MPa — termasuk finishing (TANPA besi tulangan)</t>
  </si>
  <si>
    <t xml:space="preserve">m³</t>
  </si>
  <si>
    <t xml:space="preserve">ITM-11</t>
  </si>
  <si>
    <t xml:space="preserve">Galian tanah untuk pondasi rangka panel (13 m × 0,60 m × 0,65 m)</t>
  </si>
  <si>
    <t xml:space="preserve">ITM-12</t>
  </si>
  <si>
    <t xml:space="preserve">Urugan pasir bawah pondasi, T = 5 cm</t>
  </si>
  <si>
    <t xml:space="preserve">ITM-13</t>
  </si>
  <si>
    <t xml:space="preserve">Batu kosong bawah pondasi, T = 10 cm</t>
  </si>
  <si>
    <t xml:space="preserve">ITM-14</t>
  </si>
  <si>
    <t xml:space="preserve">Pondasi batu kali menerus untuk rangka panel (13 m × 0,60 × 0,50 m) — fc 10 MPa</t>
  </si>
  <si>
    <t xml:space="preserve">ITM-15</t>
  </si>
  <si>
    <t xml:space="preserve">Balok/Sloof beton 25 × 30 cm, fc' 10 MPa (perimeter 13 m) — termasuk bekisting (TANPA besi tulangan)</t>
  </si>
  <si>
    <t xml:space="preserve">ITM-16</t>
  </si>
  <si>
    <t xml:space="preserve">Bak penampung air beton 2 × 1 × 1 m, fc' 10 MPa — termasuk waterproofing (TANPA besi tulangan)</t>
  </si>
  <si>
    <t xml:space="preserve">ITM-17</t>
  </si>
  <si>
    <t xml:space="preserve">Pekerjaan Solarpump/Diesel</t>
  </si>
  <si>
    <t xml:space="preserve">Pompa Diesel JD 330 — 35 HP, 4 langkah 1 silinder, intake/out 3 inch (paket lengkap: mesin + bracket + aksesoris)</t>
  </si>
  <si>
    <t xml:space="preserve">Unit</t>
  </si>
  <si>
    <t xml:space="preserve">ITM-18</t>
  </si>
  <si>
    <t xml:space="preserve">Instalasi sistem pompa diesel + commissioning (termasuk coupling, pipa hisap/keluar, &amp; pengujian)</t>
  </si>
  <si>
    <t xml:space="preserve">Lump Sum</t>
  </si>
  <si>
    <t xml:space="preserve">ITM-19</t>
  </si>
  <si>
    <t xml:space="preserve">Pompa Submersible Hybrid Tenaga Surya 2 HP (± 1.492 W) (paket lengkap: pompa + inverter built-in MPPT + battery + panel kontrol + kabel pacu 45 m + stopper &amp; bracket)</t>
  </si>
  <si>
    <t xml:space="preserve">ITM-20</t>
  </si>
  <si>
    <t xml:space="preserve">Pemasangan &amp; instalasi pompa submersible dalam sumur bor</t>
  </si>
  <si>
    <t xml:space="preserve">ITM-21</t>
  </si>
  <si>
    <t xml:space="preserve">Panel Surya Monokristalin 550 Wp Grade A (5 unit sesuai spesifikasi RAB pemberi kerja)</t>
  </si>
  <si>
    <t xml:space="preserve">ITM-22</t>
  </si>
  <si>
    <t xml:space="preserve">Rangka Panel Galvanis/Hollow (Ground Mounting) — 1 set lengkap untuk 5 panel, termasuk hollow galvanis Ø 1,2 inch, pengaku baja ringan, baut, mur, ring, bracket mounting, &amp; cat anti-karat</t>
  </si>
  <si>
    <t xml:space="preserve">Set</t>
  </si>
  <si>
    <t xml:space="preserve">ITM-23</t>
  </si>
  <si>
    <t xml:space="preserve">Instalasi sistem &amp; commissioning (termasuk wiring PV, load test pompa, pengujian output, grounding, &amp; penyambungan akhir)</t>
  </si>
  <si>
    <t xml:space="preserve">ITM-24</t>
  </si>
  <si>
    <t xml:space="preserve">Pompa Submersible 4 inch, 5,5 HP (paket lengkap: pompa + kabel pacu 45 m + stopper &amp; bracket)</t>
  </si>
  <si>
    <t xml:space="preserve">ITM-25</t>
  </si>
  <si>
    <t xml:space="preserve">Instalasi listrik PLN/Genset (kabel 2×4 mm² 50 m, MCB, panel kontrol, grounding) untuk penggerak pompa</t>
  </si>
  <si>
    <t xml:space="preserve">ITM-26</t>
  </si>
  <si>
    <t xml:space="preserve">Pemasangan &amp; instalasi pompa submersible dalam sumur bor + commissioning</t>
  </si>
  <si>
    <t xml:space="preserve">Rincian Harga | Analisa Komponen Harga Satuan per Item Pekerjaan</t>
  </si>
  <si>
    <t xml:space="preserve">Rincian komponen pembentuk harga satuan untuk seluruh 26 item di sheet Master of Price (ITM-01 s/d ITM-26).</t>
  </si>
  <si>
    <t xml:space="preserve">Ubah harga komponen pada kolom Harga (Rp) - subtotal per item, harga satuan di Master of Price, seluruh sheet lokasi (L01-L09), dan RINGKASAN otomatis ikut berubah.</t>
  </si>
  <si>
    <t xml:space="preserve">HSP Kab. Tebo / DPU Jambi (estimasi 2024-2025), all-in; komponen = estimasi alokasi harga pasar Jambi/Tebo 2024-2025.</t>
  </si>
  <si>
    <t xml:space="preserve">Struktur Harga</t>
  </si>
  <si>
    <t xml:space="preserve">Harga satuan item = penjumlahan seluruh komponennya (material + upah + alat + OVW &amp; profit). Subtotal tiap item (baris 'JUMLAH HARGA SATUAN') di-link ke kolom Harga Satuan sheet 'Master of Price'.</t>
  </si>
  <si>
    <t xml:space="preserve">Overhead</t>
  </si>
  <si>
    <t xml:space="preserve">Item 'Overhead (lump sum all-in)' TIDAK di-rinci di sheet ini - dihitung otomatis per lokasi: Overhead = Anggaran Maksimal (RINGKASAN kolom J) - Sub Total pekerjaan; jika negatif maka status pekerjaan = OVER BUDGET.</t>
  </si>
  <si>
    <t xml:space="preserve">DAFTAR RINCIAN HARGA SATUAN PER ITEM (26 ITEM: ITM-01 s/d ITM-26)</t>
  </si>
  <si>
    <t xml:space="preserve">Kode Komponen</t>
  </si>
  <si>
    <t xml:space="preserve">Uraian Komponen &amp; Spesifikasi</t>
  </si>
  <si>
    <t xml:space="preserve">Keterangan / Basis Harga</t>
  </si>
  <si>
    <t xml:space="preserve">Harga (Rp)</t>
  </si>
  <si>
    <t xml:space="preserve">Kelompok 1: PEKERJAAN SUMUR BOR (ITM-01 s/d ITM-09)</t>
  </si>
  <si>
    <t xml:space="preserve">Satuan: m'</t>
  </si>
  <si>
    <t xml:space="preserve">ITM-01.1</t>
  </si>
  <si>
    <t xml:space="preserve">Sewa unit alat bor (rig rotary/DTHC lengkap, termasuk crew 3-4 orang &amp; mandor)</t>
  </si>
  <si>
    <t xml:space="preserve">Tarif sewa rig + crew, estimasi pasar Jambi 2024-2025</t>
  </si>
  <si>
    <t xml:space="preserve">ITM-01.2</t>
  </si>
  <si>
    <t xml:space="preserve">BBM &amp; pelumas alat bor (solar, oli, grease)</t>
  </si>
  <si>
    <t xml:space="preserve">± 3-4 liter solar per m' + pelumas</t>
  </si>
  <si>
    <t xml:space="preserve">ITM-01.3</t>
  </si>
  <si>
    <t xml:space="preserve">Material lumpur bor (bentonit/polymer + air)</t>
  </si>
  <si>
    <t xml:space="preserve">Sirkulasi lumpur, termasuk susut</t>
  </si>
  <si>
    <t xml:space="preserve">ITM-01.4</t>
  </si>
  <si>
    <t xml:space="preserve">Upah pengeboran (tenaga pelaksana &amp; pengangkatan casing)</t>
  </si>
  <si>
    <t xml:space="preserve">Alokasi upah per m'</t>
  </si>
  <si>
    <t xml:space="preserve">ITM-01.5</t>
  </si>
  <si>
    <t xml:space="preserve">Mobilisasi &amp; demobilisasi alat bor</t>
  </si>
  <si>
    <t xml:space="preserve">Amortisasi per m' (jarak lokasi Kab. Tebo)</t>
  </si>
  <si>
    <t xml:space="preserve">ITM-01.6</t>
  </si>
  <si>
    <t xml:space="preserve">Developing &amp; pumping test</t>
  </si>
  <si>
    <t xml:space="preserve">Amortisasi per m' kedalaman</t>
  </si>
  <si>
    <t xml:space="preserve">ITM-01.7</t>
  </si>
  <si>
    <t xml:space="preserve">Overhead &amp; profit kontraktor pembor</t>
  </si>
  <si>
    <t xml:space="preserve">± 3,4% dari harga satuan</t>
  </si>
  <si>
    <t xml:space="preserve">JUMLAH HARGA SATUAN — ITM-01 (per m')</t>
  </si>
  <si>
    <t xml:space="preserve">Link ke 'Master of Price'!G12</t>
  </si>
  <si>
    <t xml:space="preserve">ITM-02.1</t>
  </si>
  <si>
    <t xml:space="preserve">Material pipa PVC AW Ø 6 inch (casing)</t>
  </si>
  <si>
    <t xml:space="preserve">Harga pasar ± Rp 82.000/m' (beli batang 4 m)</t>
  </si>
  <si>
    <t xml:space="preserve">ITM-02.2</t>
  </si>
  <si>
    <t xml:space="preserve">Fitting &amp; sambungan (socket, lem PVC, rubber seal)</t>
  </si>
  <si>
    <t xml:space="preserve">Alokasi fitting per m' pipa</t>
  </si>
  <si>
    <t xml:space="preserve">ITM-02.3</t>
  </si>
  <si>
    <t xml:space="preserve">Upah pemasangan &amp; penyambungan casing</t>
  </si>
  <si>
    <t xml:space="preserve">Upah lokal Tebo</t>
  </si>
  <si>
    <t xml:space="preserve">ITM-02.4</t>
  </si>
  <si>
    <t xml:space="preserve">Transport &amp; handling material ke lokasi</t>
  </si>
  <si>
    <t xml:space="preserve">Alokasi per m'</t>
  </si>
  <si>
    <t xml:space="preserve">ITM-02.5</t>
  </si>
  <si>
    <t xml:space="preserve">Overhead &amp; profit</t>
  </si>
  <si>
    <t xml:space="preserve">± 2% dari harga satuan</t>
  </si>
  <si>
    <t xml:space="preserve">JUMLAH HARGA SATUAN — ITM-02 (per m')</t>
  </si>
  <si>
    <t xml:space="preserve">Link ke 'Master of Price'!G13</t>
  </si>
  <si>
    <t xml:space="preserve">ITM-03.1</t>
  </si>
  <si>
    <t xml:space="preserve">Material pipa PVC AW Ø 2 inch (outlet)</t>
  </si>
  <si>
    <t xml:space="preserve">Harga pasar ± Rp 20.000/m'</t>
  </si>
  <si>
    <t xml:space="preserve">ITM-03.2</t>
  </si>
  <si>
    <t xml:space="preserve">Fitting &amp; lem PVC (elbow, socket, nipple)</t>
  </si>
  <si>
    <t xml:space="preserve">ITM-03.3</t>
  </si>
  <si>
    <t xml:space="preserve">Upah pemasangan pipa outlet</t>
  </si>
  <si>
    <t xml:space="preserve">ITM-03.4</t>
  </si>
  <si>
    <t xml:space="preserve">Transport &amp; handling</t>
  </si>
  <si>
    <t xml:space="preserve">ITM-03.5</t>
  </si>
  <si>
    <t xml:space="preserve">± 3,6% dari harga satuan</t>
  </si>
  <si>
    <t xml:space="preserve">JUMLAH HARGA SATUAN — ITM-03 (per m')</t>
  </si>
  <si>
    <t xml:space="preserve">Link ke 'Master of Price'!G14</t>
  </si>
  <si>
    <t xml:space="preserve">ITM-04.1</t>
  </si>
  <si>
    <t xml:space="preserve">Material kerikil filter (graded gravel/silika) di annulus</t>
  </si>
  <si>
    <t xml:space="preserve">Harga material termasuk susut</t>
  </si>
  <si>
    <t xml:space="preserve">ITM-04.2</t>
  </si>
  <si>
    <t xml:space="preserve">Pencucian &amp; grading kerikil filter</t>
  </si>
  <si>
    <t xml:space="preserve">Pengolahan material filter</t>
  </si>
  <si>
    <t xml:space="preserve">ITM-04.3</t>
  </si>
  <si>
    <t xml:space="preserve">Upah penuangan gravel pack ke annulus</t>
  </si>
  <si>
    <t xml:space="preserve">ITM-04.4</t>
  </si>
  <si>
    <t xml:space="preserve">Transport material</t>
  </si>
  <si>
    <t xml:space="preserve">ITM-04.5</t>
  </si>
  <si>
    <t xml:space="preserve">± 6,7% dari harga satuan</t>
  </si>
  <si>
    <t xml:space="preserve">JUMLAH HARGA SATUAN — ITM-04 (per m')</t>
  </si>
  <si>
    <t xml:space="preserve">Link ke 'Master of Price'!G15</t>
  </si>
  <si>
    <t xml:space="preserve">ITM-05.1</t>
  </si>
  <si>
    <t xml:space="preserve">Semen grouting annulus</t>
  </si>
  <si>
    <t xml:space="preserve">Termasuk susut/kehilangan ke formasi</t>
  </si>
  <si>
    <t xml:space="preserve">ITM-05.2</t>
  </si>
  <si>
    <t xml:space="preserve">Air &amp; admixture (bentonite/plasticizer)</t>
  </si>
  <si>
    <t xml:space="preserve">Bahan campuran grout</t>
  </si>
  <si>
    <t xml:space="preserve">ITM-05.3</t>
  </si>
  <si>
    <t xml:space="preserve">Upah pencampuran &amp; pengecoran annulus</t>
  </si>
  <si>
    <t xml:space="preserve">ITM-05.4</t>
  </si>
  <si>
    <t xml:space="preserve">Alat bantu (mixer &amp; pompa grout)</t>
  </si>
  <si>
    <t xml:space="preserve">Amortisasi per m'</t>
  </si>
  <si>
    <t xml:space="preserve">ITM-05.5</t>
  </si>
  <si>
    <t xml:space="preserve">± 13,3% dari harga satuan</t>
  </si>
  <si>
    <t xml:space="preserve">JUMLAH HARGA SATUAN — ITM-05 (per m')</t>
  </si>
  <si>
    <t xml:space="preserve">Link ke 'Master of Price'!G16</t>
  </si>
  <si>
    <t xml:space="preserve">Satuan: m' — tarif sama dgn ITM-01</t>
  </si>
  <si>
    <t xml:space="preserve">ITM-06.1</t>
  </si>
  <si>
    <t xml:space="preserve">ITM-06.2</t>
  </si>
  <si>
    <t xml:space="preserve">ITM-06.3</t>
  </si>
  <si>
    <t xml:space="preserve">ITM-06.4</t>
  </si>
  <si>
    <t xml:space="preserve">ITM-06.5</t>
  </si>
  <si>
    <t xml:space="preserve">ITM-06.6</t>
  </si>
  <si>
    <t xml:space="preserve">ITM-06.7</t>
  </si>
  <si>
    <t xml:space="preserve">JUMLAH HARGA SATUAN — ITM-06 (per m')</t>
  </si>
  <si>
    <t xml:space="preserve">Link ke 'Master of Price'!G17</t>
  </si>
  <si>
    <t xml:space="preserve">ITM-07.1</t>
  </si>
  <si>
    <t xml:space="preserve">ITM-07.2</t>
  </si>
  <si>
    <t xml:space="preserve">ITM-07.3</t>
  </si>
  <si>
    <t xml:space="preserve">ITM-07.4</t>
  </si>
  <si>
    <t xml:space="preserve">ITM-07.5</t>
  </si>
  <si>
    <t xml:space="preserve">ITM-07.6</t>
  </si>
  <si>
    <t xml:space="preserve">ITM-07.7</t>
  </si>
  <si>
    <t xml:space="preserve">JUMLAH HARGA SATUAN — ITM-07 (per m')</t>
  </si>
  <si>
    <t xml:space="preserve">Link ke 'Master of Price'!G18</t>
  </si>
  <si>
    <t xml:space="preserve">ITM-08.1</t>
  </si>
  <si>
    <t xml:space="preserve">ITM-08.2</t>
  </si>
  <si>
    <t xml:space="preserve">ITM-08.3</t>
  </si>
  <si>
    <t xml:space="preserve">ITM-08.4</t>
  </si>
  <si>
    <t xml:space="preserve">ITM-08.5</t>
  </si>
  <si>
    <t xml:space="preserve">ITM-08.6</t>
  </si>
  <si>
    <t xml:space="preserve">ITM-08.7</t>
  </si>
  <si>
    <t xml:space="preserve">JUMLAH HARGA SATUAN — ITM-08 (per m')</t>
  </si>
  <si>
    <t xml:space="preserve">Link ke 'Master of Price'!G19</t>
  </si>
  <si>
    <t xml:space="preserve">ITM-09.1</t>
  </si>
  <si>
    <t xml:space="preserve">ITM-09.2</t>
  </si>
  <si>
    <t xml:space="preserve">ITM-09.3</t>
  </si>
  <si>
    <t xml:space="preserve">ITM-09.4</t>
  </si>
  <si>
    <t xml:space="preserve">ITM-09.5</t>
  </si>
  <si>
    <t xml:space="preserve">ITM-09.6</t>
  </si>
  <si>
    <t xml:space="preserve">ITM-09.7</t>
  </si>
  <si>
    <t xml:space="preserve">JUMLAH HARGA SATUAN — ITM-09 (per m')</t>
  </si>
  <si>
    <t xml:space="preserve">Link ke 'Master of Price'!G20</t>
  </si>
  <si>
    <t xml:space="preserve">Kelompok 2: PEKERJAAN PENGECORAN &amp; PEMBETONAN (ITM-10 s/d ITM-16)</t>
  </si>
  <si>
    <t xml:space="preserve">Satuan: m³</t>
  </si>
  <si>
    <t xml:space="preserve">ITM-10.1</t>
  </si>
  <si>
    <t xml:space="preserve">Semen</t>
  </si>
  <si>
    <t xml:space="preserve">Koef. ± 5,2 sak/m³ × Rp 65.000/sak</t>
  </si>
  <si>
    <t xml:space="preserve">ITM-10.2</t>
  </si>
  <si>
    <t xml:space="preserve">Pasir beton</t>
  </si>
  <si>
    <t xml:space="preserve">Koef. ± 0,46 m³ × Rp 250.000/m³</t>
  </si>
  <si>
    <t xml:space="preserve">ITM-10.3</t>
  </si>
  <si>
    <t xml:space="preserve">Batu split</t>
  </si>
  <si>
    <t xml:space="preserve">Koef. ± 0,90 m³ × Rp 300.000/m³</t>
  </si>
  <si>
    <t xml:space="preserve">ITM-10.4</t>
  </si>
  <si>
    <t xml:space="preserve">Air pemeliharaan/curing</t>
  </si>
  <si>
    <t xml:space="preserve">Termasuk pemeliharaan beton</t>
  </si>
  <si>
    <t xml:space="preserve">ITM-10.5</t>
  </si>
  <si>
    <t xml:space="preserve">Upah cor, finishing &amp; bekisting sederhana</t>
  </si>
  <si>
    <t xml:space="preserve">Upah lokal Tebo, all-in per m³</t>
  </si>
  <si>
    <t xml:space="preserve">ITM-10.6</t>
  </si>
  <si>
    <t xml:space="preserve">± 5% dari harga satuan</t>
  </si>
  <si>
    <t xml:space="preserve">JUMLAH HARGA SATUAN — ITM-10 (per m³)</t>
  </si>
  <si>
    <t xml:space="preserve">Link ke 'Master of Price'!G21</t>
  </si>
  <si>
    <t xml:space="preserve">ITM-11.1</t>
  </si>
  <si>
    <t xml:space="preserve">Upah galian tanah biasa</t>
  </si>
  <si>
    <t xml:space="preserve">Upah lokal ± Rp 40.000/m³</t>
  </si>
  <si>
    <t xml:space="preserve">ITM-11.2</t>
  </si>
  <si>
    <t xml:space="preserve">Alat bantu &amp; penimbunan tanah buangan</t>
  </si>
  <si>
    <t xml:space="preserve">Alokasi per m³</t>
  </si>
  <si>
    <t xml:space="preserve">ITM-11.3</t>
  </si>
  <si>
    <t xml:space="preserve">± 5,3% dari harga satuan</t>
  </si>
  <si>
    <t xml:space="preserve">JUMLAH HARGA SATUAN — ITM-11 (per m³)</t>
  </si>
  <si>
    <t xml:space="preserve">Link ke 'Master of Price'!G22</t>
  </si>
  <si>
    <t xml:space="preserve">ITM-12.1</t>
  </si>
  <si>
    <t xml:space="preserve">Material pasir urug</t>
  </si>
  <si>
    <t xml:space="preserve">Harga pasir lokal ± Rp 60.000/m³</t>
  </si>
  <si>
    <t xml:space="preserve">ITM-12.2</t>
  </si>
  <si>
    <t xml:space="preserve">Upah urug &amp; pemadatan</t>
  </si>
  <si>
    <t xml:space="preserve">ITM-12.3</t>
  </si>
  <si>
    <t xml:space="preserve">± 5,6% dari harga satuan</t>
  </si>
  <si>
    <t xml:space="preserve">JUMLAH HARGA SATUAN — ITM-12 (per m³)</t>
  </si>
  <si>
    <t xml:space="preserve">Link ke 'Master of Price'!G23</t>
  </si>
  <si>
    <t xml:space="preserve">ITM-13.1</t>
  </si>
  <si>
    <t xml:space="preserve">Material batu kosong/belah</t>
  </si>
  <si>
    <t xml:space="preserve">Harga lokal ± Rp 95.000/m³</t>
  </si>
  <si>
    <t xml:space="preserve">ITM-13.2</t>
  </si>
  <si>
    <t xml:space="preserve">Upah urug/susun batu kosong</t>
  </si>
  <si>
    <t xml:space="preserve">ITM-13.3</t>
  </si>
  <si>
    <t xml:space="preserve">± 7,7% dari harga satuan</t>
  </si>
  <si>
    <t xml:space="preserve">JUMLAH HARGA SATUAN — ITM-13 (per m³)</t>
  </si>
  <si>
    <t xml:space="preserve">Link ke 'Master of Price'!G24</t>
  </si>
  <si>
    <t xml:space="preserve">ITM-14.1</t>
  </si>
  <si>
    <t xml:space="preserve">Batu kali</t>
  </si>
  <si>
    <t xml:space="preserve">Koef. ± 1,1 m³ × Rp 150.000/m³</t>
  </si>
  <si>
    <t xml:space="preserve">ITM-14.2</t>
  </si>
  <si>
    <t xml:space="preserve">Koef. ± 2,5 sak/m³ × Rp 65.000/sak</t>
  </si>
  <si>
    <t xml:space="preserve">ITM-14.3</t>
  </si>
  <si>
    <t xml:space="preserve">Pasir pasang</t>
  </si>
  <si>
    <t xml:space="preserve">Koef. ± 0,5 m³ × Rp 250.000/m³</t>
  </si>
  <si>
    <t xml:space="preserve">ITM-14.4</t>
  </si>
  <si>
    <t xml:space="preserve">Upah pasang pondasi batu kali menerus</t>
  </si>
  <si>
    <t xml:space="preserve">ITM-14.5</t>
  </si>
  <si>
    <t xml:space="preserve">± 8,2% dari harga satuan</t>
  </si>
  <si>
    <t xml:space="preserve">JUMLAH HARGA SATUAN — ITM-14 (per m³)</t>
  </si>
  <si>
    <t xml:space="preserve">Link ke 'Master of Price'!G25</t>
  </si>
  <si>
    <t xml:space="preserve">ITM-15.1</t>
  </si>
  <si>
    <t xml:space="preserve">ITM-15.2</t>
  </si>
  <si>
    <t xml:space="preserve">ITM-15.3</t>
  </si>
  <si>
    <t xml:space="preserve">ITM-15.4</t>
  </si>
  <si>
    <t xml:space="preserve">Bekisting (kayu, paku, minyak bekisting)</t>
  </si>
  <si>
    <t xml:space="preserve">Material bekisting balok/sloof</t>
  </si>
  <si>
    <t xml:space="preserve">ITM-15.5</t>
  </si>
  <si>
    <t xml:space="preserve">Upah cor &amp; pasang bekisting</t>
  </si>
  <si>
    <t xml:space="preserve">ITM-15.6</t>
  </si>
  <si>
    <t xml:space="preserve">± 3,7% dari harga satuan</t>
  </si>
  <si>
    <t xml:space="preserve">JUMLAH HARGA SATUAN — ITM-15 (per m³)</t>
  </si>
  <si>
    <t xml:space="preserve">Link ke 'Master of Price'!G26</t>
  </si>
  <si>
    <t xml:space="preserve">ITM-16.1</t>
  </si>
  <si>
    <t xml:space="preserve">Koef. ± 6 sak/m³ × Rp 65.000/sak</t>
  </si>
  <si>
    <t xml:space="preserve">ITM-16.2</t>
  </si>
  <si>
    <t xml:space="preserve">Koef. ± 0,48 m³ × Rp 250.000/m³</t>
  </si>
  <si>
    <t xml:space="preserve">ITM-16.3</t>
  </si>
  <si>
    <t xml:space="preserve">Koef. ± 0,93 m³ × Rp 300.000/m³</t>
  </si>
  <si>
    <t xml:space="preserve">ITM-16.4</t>
  </si>
  <si>
    <t xml:space="preserve">Bekisting dinding 2 sisi (kayu &amp; paku)</t>
  </si>
  <si>
    <t xml:space="preserve">Material bekisting bak</t>
  </si>
  <si>
    <t xml:space="preserve">ITM-16.5</t>
  </si>
  <si>
    <t xml:space="preserve">Material waterproofing (coating/semen water plug)</t>
  </si>
  <si>
    <t xml:space="preserve">Pengedapan bak penampung</t>
  </si>
  <si>
    <t xml:space="preserve">ITM-16.6</t>
  </si>
  <si>
    <t xml:space="preserve">Upah cor, bekisting &amp; waterproofing</t>
  </si>
  <si>
    <t xml:space="preserve">ITM-16.7</t>
  </si>
  <si>
    <t xml:space="preserve">± 2,5% dari harga satuan</t>
  </si>
  <si>
    <t xml:space="preserve">JUMLAH HARGA SATUAN — ITM-16 (per m³)</t>
  </si>
  <si>
    <t xml:space="preserve">Link ke 'Master of Price'!G27</t>
  </si>
  <si>
    <t xml:space="preserve">Kelompok 3: PEKERJAAN SOLARPUMP/DIESEL (ITM-17 s/d ITM-26)</t>
  </si>
  <si>
    <t xml:space="preserve">Satuan: Unit</t>
  </si>
  <si>
    <t xml:space="preserve">ITM-17.1</t>
  </si>
  <si>
    <t xml:space="preserve">Mesin pompa diesel JD 330 — 35 HP, 4 langkah 1 silinder, intake/out 3 inch</t>
  </si>
  <si>
    <t xml:space="preserve">Harga pasar mesin 2024-2025</t>
  </si>
  <si>
    <t xml:space="preserve">ITM-17.2</t>
  </si>
  <si>
    <t xml:space="preserve">Bracket/dudukan mesin (baja + baut pondasi)</t>
  </si>
  <si>
    <t xml:space="preserve">Fabrikasi lokal</t>
  </si>
  <si>
    <t xml:space="preserve">ITM-17.3</t>
  </si>
  <si>
    <t xml:space="preserve">Aksesoris (kopling, seal, toolkit, filter)</t>
  </si>
  <si>
    <t xml:space="preserve">Paket aksesoris standar</t>
  </si>
  <si>
    <t xml:space="preserve">ITM-17.4</t>
  </si>
  <si>
    <t xml:space="preserve">Transport &amp; handling ke lokasi (Kab. Tebo)</t>
  </si>
  <si>
    <t xml:space="preserve">Estimasi ongkos kirim</t>
  </si>
  <si>
    <t xml:space="preserve">ITM-17.5</t>
  </si>
  <si>
    <t xml:space="preserve">± 6,4% dari harga satuan</t>
  </si>
  <si>
    <t xml:space="preserve">JUMLAH HARGA SATUAN — ITM-17 (per Unit)</t>
  </si>
  <si>
    <t xml:space="preserve">Link ke 'Master of Price'!G28</t>
  </si>
  <si>
    <t xml:space="preserve">Satuan: Lump Sum</t>
  </si>
  <si>
    <t xml:space="preserve">ITM-18.1</t>
  </si>
  <si>
    <t xml:space="preserve">Pipa hisap &amp; pipa lepas 3 inch + fitting (kaki vakum, kran, seal)</t>
  </si>
  <si>
    <t xml:space="preserve">Harga material + alokasi</t>
  </si>
  <si>
    <t xml:space="preserve">ITM-18.2</t>
  </si>
  <si>
    <t xml:space="preserve">Coupling, flexible joint &amp; seal sambungan</t>
  </si>
  <si>
    <t xml:space="preserve">Material sambungan</t>
  </si>
  <si>
    <t xml:space="preserve">ITM-18.3</t>
  </si>
  <si>
    <t xml:space="preserve">Upah instalasi mekanikal</t>
  </si>
  <si>
    <t xml:space="preserve">ITM-18.4</t>
  </si>
  <si>
    <t xml:space="preserve">BBM &amp; biaya commissioning/pengujian</t>
  </si>
  <si>
    <t xml:space="preserve">Pengujian sistem</t>
  </si>
  <si>
    <t xml:space="preserve">ITM-18.5</t>
  </si>
  <si>
    <t xml:space="preserve">JUMLAH HARGA SATUAN — ITM-18 (per Lump Sum)</t>
  </si>
  <si>
    <t xml:space="preserve">Link ke 'Master of Price'!G29</t>
  </si>
  <si>
    <t xml:space="preserve">ITM-19.1</t>
  </si>
  <si>
    <t xml:space="preserve">Pompa submersible 2 HP (± 1.492 W), bodi stainless 3 inch, head ± 45 m</t>
  </si>
  <si>
    <t xml:space="preserve">Harga pasar unit pompa 2024-2025</t>
  </si>
  <si>
    <t xml:space="preserve">ITM-19.2</t>
  </si>
  <si>
    <t xml:space="preserve">Inverter built-in MPPT ± 2,2 kW (solar pump VFD controller)</t>
  </si>
  <si>
    <t xml:space="preserve">Harga pasar inverter MPPT</t>
  </si>
  <si>
    <t xml:space="preserve">ITM-19.3</t>
  </si>
  <si>
    <t xml:space="preserve">Battery (bank baterai lithium/AGM lengkap BMS &amp; box baterai)</t>
  </si>
  <si>
    <t xml:space="preserve">Estimasi paket baterai hybrid</t>
  </si>
  <si>
    <t xml:space="preserve">ITM-19.4</t>
  </si>
  <si>
    <t xml:space="preserve">Panel kontrol (kontrol otomatis, sensor level, proteksi overload/surge)</t>
  </si>
  <si>
    <t xml:space="preserve">Estimasi pasar</t>
  </si>
  <si>
    <t xml:space="preserve">ITM-19.5</t>
  </si>
  <si>
    <t xml:space="preserve">Kabel pacu 45 m (kabel submersible 3 × 2,5 mm²)</t>
  </si>
  <si>
    <t xml:space="preserve">± Rp 33.000/m × 45 m</t>
  </si>
  <si>
    <t xml:space="preserve">ITM-19.6</t>
  </si>
  <si>
    <t xml:space="preserve">Stopper &amp; bracket (klem pipa, tali stainless, safety clamp)</t>
  </si>
  <si>
    <t xml:space="preserve">ITM-19.7</t>
  </si>
  <si>
    <t xml:space="preserve">Transport, assembling &amp; testing paket</t>
  </si>
  <si>
    <t xml:space="preserve">Alokasi ke lokasi Kab. Tebo</t>
  </si>
  <si>
    <t xml:space="preserve">ITM-19.8</t>
  </si>
  <si>
    <t xml:space="preserve">± 6,3% dari harga satuan</t>
  </si>
  <si>
    <t xml:space="preserve">JUMLAH HARGA SATUAN — ITM-19 (per Unit)</t>
  </si>
  <si>
    <t xml:space="preserve">Link ke 'Master of Price'!G30</t>
  </si>
  <si>
    <t xml:space="preserve">ITM-20.1</t>
  </si>
  <si>
    <t xml:space="preserve">Upah pemasangan pompa dalam sumur (penurunan, alignment, pengencangan)</t>
  </si>
  <si>
    <t xml:space="preserve">Upah teknisi, all-in</t>
  </si>
  <si>
    <t xml:space="preserve">ITM-20.2</t>
  </si>
  <si>
    <t xml:space="preserve">Material penyangga &amp; sambungan (nipple, klem, teflon, seal)</t>
  </si>
  <si>
    <t xml:space="preserve">Material pelengkap</t>
  </si>
  <si>
    <t xml:space="preserve">ITM-20.3</t>
  </si>
  <si>
    <t xml:space="preserve">Alat bantu angkat &amp; penurunan pompa (tali, katrol, winch)</t>
  </si>
  <si>
    <t xml:space="preserve">Amortisasi alat</t>
  </si>
  <si>
    <t xml:space="preserve">ITM-20.4</t>
  </si>
  <si>
    <t xml:space="preserve">Pengujian &amp; setting pompa</t>
  </si>
  <si>
    <t xml:space="preserve">Functional test</t>
  </si>
  <si>
    <t xml:space="preserve">ITM-20.5</t>
  </si>
  <si>
    <t xml:space="preserve">JUMLAH HARGA SATUAN — ITM-20 (per Lump Sum)</t>
  </si>
  <si>
    <t xml:space="preserve">Link ke 'Master of Price'!G31</t>
  </si>
  <si>
    <t xml:space="preserve">ITM-21.1</t>
  </si>
  <si>
    <t xml:space="preserve">Modul PV monokristalin 550 Wp Grade A</t>
  </si>
  <si>
    <t xml:space="preserve">Harga pasar 2024-2025 (garansi performansi 25 th)</t>
  </si>
  <si>
    <t xml:space="preserve">ITM-21.2</t>
  </si>
  <si>
    <t xml:space="preserve">Kabel PV &amp; konektor MC4 (set per panel)</t>
  </si>
  <si>
    <t xml:space="preserve">Aksesori instalasi PV</t>
  </si>
  <si>
    <t xml:space="preserve">ITM-21.3</t>
  </si>
  <si>
    <t xml:space="preserve">Proteksi DC (fuse &amp; holder)</t>
  </si>
  <si>
    <t xml:space="preserve">Amortisasi proteksi string per panel</t>
  </si>
  <si>
    <t xml:space="preserve">ITM-21.4</t>
  </si>
  <si>
    <t xml:space="preserve">Estimasi ongkos kirim ke Tebo</t>
  </si>
  <si>
    <t xml:space="preserve">ITM-21.5</t>
  </si>
  <si>
    <t xml:space="preserve">± 8,1% dari harga satuan</t>
  </si>
  <si>
    <t xml:space="preserve">JUMLAH HARGA SATUAN — ITM-21 (per Unit)</t>
  </si>
  <si>
    <t xml:space="preserve">Link ke 'Master of Price'!G32</t>
  </si>
  <si>
    <t xml:space="preserve">Satuan: Set</t>
  </si>
  <si>
    <t xml:space="preserve">ITM-22.1</t>
  </si>
  <si>
    <t xml:space="preserve">Hollow galvanis Ø 1,2 inch (± 25 batang @ 4 m)</t>
  </si>
  <si>
    <t xml:space="preserve">Material utama rangka</t>
  </si>
  <si>
    <t xml:space="preserve">ITM-22.2</t>
  </si>
  <si>
    <t xml:space="preserve">Pengaku baja ringan &amp; profil penopang</t>
  </si>
  <si>
    <t xml:space="preserve">Material pengaku</t>
  </si>
  <si>
    <t xml:space="preserve">ITM-22.3</t>
  </si>
  <si>
    <t xml:space="preserve">Baut, mur, ring, dynabolt (hardware set)</t>
  </si>
  <si>
    <t xml:space="preserve">Material pengikat</t>
  </si>
  <si>
    <t xml:space="preserve">ITM-22.4</t>
  </si>
  <si>
    <t xml:space="preserve">Bracket mounting &amp; konektor panel</t>
  </si>
  <si>
    <t xml:space="preserve">Material sambungan panel</t>
  </si>
  <si>
    <t xml:space="preserve">ITM-22.5</t>
  </si>
  <si>
    <t xml:space="preserve">Cat anti-karat &amp; finishing</t>
  </si>
  <si>
    <t xml:space="preserve">Proteksi rangka</t>
  </si>
  <si>
    <t xml:space="preserve">ITM-22.6</t>
  </si>
  <si>
    <t xml:space="preserve">Upah fabrikasi &amp; pemasangan rangka</t>
  </si>
  <si>
    <t xml:space="preserve">Upah tukang las/pasang</t>
  </si>
  <si>
    <t xml:space="preserve">ITM-22.7</t>
  </si>
  <si>
    <t xml:space="preserve">± 8,9% dari harga satuan</t>
  </si>
  <si>
    <t xml:space="preserve">JUMLAH HARGA SATUAN — ITM-22 (per Set)</t>
  </si>
  <si>
    <t xml:space="preserve">Link ke 'Master of Price'!G33</t>
  </si>
  <si>
    <t xml:space="preserve">ITM-23.1</t>
  </si>
  <si>
    <t xml:space="preserve">Kabel PV utama, kabel pompa &amp; armature</t>
  </si>
  <si>
    <t xml:space="preserve">Material instalasi</t>
  </si>
  <si>
    <t xml:space="preserve">ITM-23.2</t>
  </si>
  <si>
    <t xml:space="preserve">Sistem grounding (rod, kabel BC, clamp)</t>
  </si>
  <si>
    <t xml:space="preserve">Material grounding</t>
  </si>
  <si>
    <t xml:space="preserve">ITM-23.3</t>
  </si>
  <si>
    <t xml:space="preserve">Upah wiring PV &amp; penyambungan akhir</t>
  </si>
  <si>
    <t xml:space="preserve">Upah teknisi</t>
  </si>
  <si>
    <t xml:space="preserve">ITM-23.4</t>
  </si>
  <si>
    <t xml:space="preserve">Load test pompa &amp; pengujian output</t>
  </si>
  <si>
    <t xml:space="preserve">ITM-23.5</t>
  </si>
  <si>
    <t xml:space="preserve">Commissioning &amp; dokumentasi</t>
  </si>
  <si>
    <t xml:space="preserve">Serah terima sistem</t>
  </si>
  <si>
    <t xml:space="preserve">ITM-23.6</t>
  </si>
  <si>
    <t xml:space="preserve">± 10% dari harga satuan</t>
  </si>
  <si>
    <t xml:space="preserve">JUMLAH HARGA SATUAN — ITM-23 (per Lump Sum)</t>
  </si>
  <si>
    <t xml:space="preserve">Link ke 'Master of Price'!G34</t>
  </si>
  <si>
    <t xml:space="preserve">ITM-24.1</t>
  </si>
  <si>
    <t xml:space="preserve">Pompa submersible 4 inch, 5,5 HP (bodi stainless)</t>
  </si>
  <si>
    <t xml:space="preserve">Harga pasar 2024-2025</t>
  </si>
  <si>
    <t xml:space="preserve">ITM-24.2</t>
  </si>
  <si>
    <t xml:space="preserve">Harga pasar, paket 45 m</t>
  </si>
  <si>
    <t xml:space="preserve">ITM-24.3</t>
  </si>
  <si>
    <t xml:space="preserve">Stopper &amp; bracket (klem, tali, safety clamp)</t>
  </si>
  <si>
    <t xml:space="preserve">ITM-24.4</t>
  </si>
  <si>
    <t xml:space="preserve">ITM-24.5</t>
  </si>
  <si>
    <t xml:space="preserve">± 6% dari harga satuan</t>
  </si>
  <si>
    <t xml:space="preserve">JUMLAH HARGA SATUAN — ITM-24 (per Unit)</t>
  </si>
  <si>
    <t xml:space="preserve">Link ke 'Master of Price'!G35</t>
  </si>
  <si>
    <t xml:space="preserve">ITM-25.1</t>
  </si>
  <si>
    <t xml:space="preserve">Kabel NYM/NYY 2 × 4 mm² sepanjang 50 m</t>
  </si>
  <si>
    <t xml:space="preserve">± Rp 8.000/m</t>
  </si>
  <si>
    <t xml:space="preserve">ITM-25.2</t>
  </si>
  <si>
    <t xml:space="preserve">MCB &amp; box panel kontrol</t>
  </si>
  <si>
    <t xml:space="preserve">Material proteksi</t>
  </si>
  <si>
    <t xml:space="preserve">ITM-25.3</t>
  </si>
  <si>
    <t xml:space="preserve">Grounding (rod + kabel BC + clamp)</t>
  </si>
  <si>
    <t xml:space="preserve">ITM-25.4</t>
  </si>
  <si>
    <t xml:space="preserve">Upah instalasi &amp; penyambungan listrik</t>
  </si>
  <si>
    <t xml:space="preserve">ITM-25.5</t>
  </si>
  <si>
    <t xml:space="preserve">Pengujian tegangan/arus</t>
  </si>
  <si>
    <t xml:space="preserve">Pengujian instalasi</t>
  </si>
  <si>
    <t xml:space="preserve">ITM-25.6</t>
  </si>
  <si>
    <t xml:space="preserve">JUMLAH HARGA SATUAN — ITM-25 (per Lump Sum)</t>
  </si>
  <si>
    <t xml:space="preserve">Link ke 'Master of Price'!G36</t>
  </si>
  <si>
    <t xml:space="preserve">ITM-26.1</t>
  </si>
  <si>
    <t xml:space="preserve">Upah pemasangan pompa submersible</t>
  </si>
  <si>
    <t xml:space="preserve">ITM-26.2</t>
  </si>
  <si>
    <t xml:space="preserve">Material sambungan &amp; seal</t>
  </si>
  <si>
    <t xml:space="preserve">ITM-26.3</t>
  </si>
  <si>
    <t xml:space="preserve">Commissioning &amp; pengujian</t>
  </si>
  <si>
    <t xml:space="preserve">ITM-26.4</t>
  </si>
  <si>
    <t xml:space="preserve">JUMLAH HARGA SATUAN — ITM-26 (per Lump Sum)</t>
  </si>
  <si>
    <t xml:space="preserve">Link ke 'Master of Price'!G37</t>
  </si>
  <si>
    <t xml:space="preserve">L01_Lestari | Poktan Lestari | Teluk Singkawang</t>
  </si>
  <si>
    <t xml:space="preserve">Lokasi</t>
  </si>
  <si>
    <t xml:space="preserve">Teluk Singkawang, Kec. Sumay, Kab. Tebo, Prov. Jambi</t>
  </si>
  <si>
    <t xml:space="preserve">Poktan</t>
  </si>
  <si>
    <t xml:space="preserve">Poktan Lestari</t>
  </si>
  <si>
    <t xml:space="preserve">Pompa Diesel JD 330 35 HP + Rumah Pompa</t>
  </si>
  <si>
    <t xml:space="preserve">Kedalaman Sumur</t>
  </si>
  <si>
    <t xml:space="preserve">40 (asumsi standar DAK) m</t>
  </si>
  <si>
    <t xml:space="preserve">Anggaran Maksimal</t>
  </si>
  <si>
    <t xml:space="preserve">Kelompok 1: PEKERJAAN SUMUR BOR</t>
  </si>
  <si>
    <t xml:space="preserve">Uraian Pekerjaan</t>
  </si>
  <si>
    <t xml:space="preserve">Vol. (Gambar)</t>
  </si>
  <si>
    <t xml:space="preserve">Vol. (Pelaksanaan)</t>
  </si>
  <si>
    <t xml:space="preserve">Jumlah Harga (Rp)</t>
  </si>
  <si>
    <t xml:space="preserve">1.</t>
  </si>
  <si>
    <t xml:space="preserve">PEKERJAAN SUMUR BOR</t>
  </si>
  <si>
    <t xml:space="preserve">1.1.</t>
  </si>
  <si>
    <t xml:space="preserve">1.2.</t>
  </si>
  <si>
    <t xml:space="preserve">1.3.</t>
  </si>
  <si>
    <t xml:space="preserve">1.4.</t>
  </si>
  <si>
    <t xml:space="preserve">1.5.</t>
  </si>
  <si>
    <t xml:space="preserve">SUB-TOTAL SUMUR BOR</t>
  </si>
  <si>
    <t xml:space="preserve">Kelompok 2: PEKERJAAN PENGECORAN &amp; PEMBETONAN</t>
  </si>
  <si>
    <t xml:space="preserve">PEKERJAAN PENGECORAN &amp; PEMBETONAN</t>
  </si>
  <si>
    <t xml:space="preserve">SUB-TOTAL PENGECORAN</t>
  </si>
  <si>
    <t xml:space="preserve">Kelompok 3: PEKERJAAN SOLARPUMP/DIESEL</t>
  </si>
  <si>
    <t xml:space="preserve">PEKERJAAN POMPA DIESEL JD 330</t>
  </si>
  <si>
    <t xml:space="preserve">Overhead (lump sum all-in)</t>
  </si>
  <si>
    <t xml:space="preserve">SUB-TOTAL SOLARPUMP/DIESEL</t>
  </si>
  <si>
    <t xml:space="preserve">TOTAL PEKERJAAN</t>
  </si>
  <si>
    <t xml:space="preserve">ANGGARAN MAKSIMAL</t>
  </si>
  <si>
    <t xml:space="preserve">SELISIH (Total - Anggaran Maks)</t>
  </si>
  <si>
    <t xml:space="preserve">STATUS</t>
  </si>
  <si>
    <t xml:space="preserve">L02_TriMakmur | Poktan Tri Makmur | Teluk Rendah Ilir</t>
  </si>
  <si>
    <t xml:space="preserve">Teluk Rendah Ilir, Kec. Tebo Ilir, Kab. Tebo, Prov. Jambi</t>
  </si>
  <si>
    <t xml:space="preserve">Poktan Tri Makmur</t>
  </si>
  <si>
    <t xml:space="preserve">Hybrid Tenaga Surya (Pompa 2 HP + 5 Panel 550Wp + Rangka Galvanis/Hollow)</t>
  </si>
  <si>
    <t xml:space="preserve">40 m</t>
  </si>
  <si>
    <t xml:space="preserve">1.6.</t>
  </si>
  <si>
    <t xml:space="preserve">PEKERJAAN SOLARPUMP INCLUDE GROUND MOUNTING</t>
  </si>
  <si>
    <t xml:space="preserve">L03_Sepakat | Poktan Sepakat | Teluk Rendah Ilir</t>
  </si>
  <si>
    <t xml:space="preserve">Poktan Sepakat</t>
  </si>
  <si>
    <t xml:space="preserve">Pompa Submersible 4" 5,5 HP + Instalasi Listrik PLN/Genset</t>
  </si>
  <si>
    <t xml:space="preserve">PEKERJAAN PENGECORAN (TUTUP SUMUR)</t>
  </si>
  <si>
    <t xml:space="preserve">PEKERJAAN POMPA SUBMERSIBLE + INSTALASI LISTRIK</t>
  </si>
  <si>
    <t xml:space="preserve">L04_HarapanMakmur | Poktan Harapan Makmur | Tuo Ilir</t>
  </si>
  <si>
    <t xml:space="preserve">Tuo Ilir, Kec. Tebo Ilir, Kab. Tebo, Prov. Jambi</t>
  </si>
  <si>
    <t xml:space="preserve">Poktan Harapan Makmur</t>
  </si>
  <si>
    <t xml:space="preserve">25 m</t>
  </si>
  <si>
    <t xml:space="preserve">L05a_DianBelato | Poktan Dian Belato (Paket 1) | Teluk Rendah Pasar</t>
  </si>
  <si>
    <t xml:space="preserve">Teluk Rendah Pasar, Kec. Tebo Ilir, Kab. Tebo, Prov. Jambi</t>
  </si>
  <si>
    <t xml:space="preserve">Poktan Dian Belato (Paket 1)</t>
  </si>
  <si>
    <t xml:space="preserve">L05b_DianBelato | Poktan Dian Belato (Paket 2) | Teluk Rendah Pasar</t>
  </si>
  <si>
    <t xml:space="preserve">Poktan Dian Belato (Paket 2)</t>
  </si>
  <si>
    <t xml:space="preserve">L06_PayoLebar | Poktan Payo Lebar | Kuamang</t>
  </si>
  <si>
    <t xml:space="preserve">Kuamang, Kec. VII Koto, Kab. Tebo, Prov. Jambi</t>
  </si>
  <si>
    <t xml:space="preserve">Poktan Payo Lebar</t>
  </si>
  <si>
    <t xml:space="preserve">L07_PudingMas | Poktan Puding Mas | Pagar Puding Lamo</t>
  </si>
  <si>
    <t xml:space="preserve">Pagar Puding Lamo, Kec. Serai Serumpun, Kab. Tebo, Prov. Jambi</t>
  </si>
  <si>
    <t xml:space="preserve">Poktan Puding Mas</t>
  </si>
  <si>
    <t xml:space="preserve">34 m</t>
  </si>
  <si>
    <t xml:space="preserve">L08a_TanjungAur | Poktan Tanjung Aur Indah (Paket 1) | Tanjung Aur Seberang</t>
  </si>
  <si>
    <t xml:space="preserve">Tanjung Aur Seberang, Kec. Serai Serumpun, Kab. Tebo, Prov. Jambi</t>
  </si>
  <si>
    <t xml:space="preserve">Poktan Tanjung Aur Indah (Paket 1)</t>
  </si>
  <si>
    <t xml:space="preserve">45 m</t>
  </si>
  <si>
    <t xml:space="preserve">L08b_TanjungAur | Poktan Tanjung Aur Indah (Paket 2) | Tanjung Aur Seberang</t>
  </si>
  <si>
    <t xml:space="preserve">Poktan Tanjung Aur Indah (Paket 2)</t>
  </si>
  <si>
    <t xml:space="preserve">L08c_TanjungAur | Poktan Tanjung Aur Indah (Paket 3) | Tanjung Aur Seberang</t>
  </si>
  <si>
    <t xml:space="preserve">Poktan Tanjung Aur Indah (Paket 3)</t>
  </si>
  <si>
    <t xml:space="preserve">L09_BerkatMulia | Poktan Berkat Mulia | Pagar Puding</t>
  </si>
  <si>
    <t xml:space="preserve">Pagar Puding, Kec. Tebo Ulu, Kab. Tebo, Prov. Jambi</t>
  </si>
  <si>
    <t xml:space="preserve">Poktan Berkat Mulia</t>
  </si>
  <si>
    <t xml:space="preserve">42 m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</si>
</sst>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&quot;Rp&quot;#,##0;&quot;(Rp&quot;#,##0\);\-"/>
    <numFmt numFmtId="166" formatCode="@"/>
    <numFmt numFmtId="167" formatCode="#,##0.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6"/>
      <color rgb="FF1B2A4A"/>
      <name val="Noto Sans CJK SC"/>
      <family val="0"/>
      <charset val="1"/>
    </font>
    <font>
      <sz val="10"/>
      <color rgb="FF1B2A4A"/>
      <name val="Noto Sans CJK SC"/>
      <family val="0"/>
      <charset val="1"/>
    </font>
    <font>
      <sz val="11"/>
      <color rgb="FF37352F"/>
      <name val="Noto Sans CJK SC"/>
      <family val="0"/>
      <charset val="1"/>
    </font>
    <font>
      <sz val="12"/>
      <color rgb="FF1B2A4A"/>
      <name val="Noto Sans CJK SC"/>
      <family val="0"/>
      <charset val="1"/>
    </font>
    <font>
      <sz val="11"/>
      <color rgb="FFFFFFFF"/>
      <name val="Noto Sans CJK SC"/>
      <family val="0"/>
      <charset val="1"/>
    </font>
    <font>
      <sz val="11"/>
      <color rgb="FF1B2A4A"/>
      <name val="Noto Sans CJK SC"/>
      <family val="0"/>
      <charset val="1"/>
    </font>
    <font>
      <sz val="12"/>
      <color rgb="FF1B7D46"/>
      <name val="Noto Sans CJK SC"/>
      <family val="0"/>
      <charset val="1"/>
    </font>
    <font>
      <sz val="10"/>
      <color rgb="FF8C8A84"/>
      <name val="Noto Sans CJK SC"/>
      <family val="0"/>
      <charset val="1"/>
    </font>
    <font>
      <sz val="9"/>
      <color rgb="FF8C8A84"/>
      <name val="Noto Sans CJK SC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B2A4A"/>
        <bgColor rgb="FF37352F"/>
      </patternFill>
    </fill>
    <fill>
      <patternFill patternType="solid">
        <fgColor rgb="FFFFFFFF"/>
        <bgColor rgb="FFF7F7F5"/>
      </patternFill>
    </fill>
    <fill>
      <patternFill patternType="solid">
        <fgColor rgb="FFF7F7F5"/>
        <bgColor rgb="FFFFFFFF"/>
      </patternFill>
    </fill>
    <fill>
      <patternFill patternType="solid">
        <fgColor rgb="FFD6E4F0"/>
        <bgColor rgb="FFE9E9E8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9E9E8"/>
      </bottom>
      <diagonal/>
    </border>
    <border diagonalUp="false" diagonalDown="false">
      <left/>
      <right/>
      <top style="medium">
        <color rgb="FFE9E9E8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6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6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6" fontId="6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7" fontId="6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6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Noto Sans CJK SC"/>
        <charset val="1"/>
        <family val="0"/>
        <b val="1"/>
        <color rgb="FFFFFFFF"/>
        <sz val="11"/>
      </font>
      <fill>
        <patternFill>
          <bgColor rgb="FF1B7D46"/>
        </patternFill>
      </fill>
    </dxf>
    <dxf>
      <font>
        <name val="Noto Sans CJK SC"/>
        <charset val="1"/>
        <family val="0"/>
        <b val="1"/>
        <color rgb="FFFFFFFF"/>
        <sz val="11"/>
      </font>
      <fill>
        <patternFill>
          <bgColor rgb="FFC0392B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B7D46"/>
      <rgbColor rgb="FFC0C0C0"/>
      <rgbColor rgb="FF8C8A84"/>
      <rgbColor rgb="FF9999FF"/>
      <rgbColor rgb="FF993366"/>
      <rgbColor rgb="FFF7F7F5"/>
      <rgbColor rgb="FFE9E9E8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C55A11"/>
      <rgbColor rgb="FF666699"/>
      <rgbColor rgb="FF969696"/>
      <rgbColor rgb="FF1B2A4A"/>
      <rgbColor rgb="FF339966"/>
      <rgbColor rgb="FF003300"/>
      <rgbColor rgb="FF333300"/>
      <rgbColor rgb="FFC0392B"/>
      <rgbColor rgb="FF993366"/>
      <rgbColor rgb="FF333399"/>
      <rgbColor rgb="FF3735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4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4" topLeftCell="A1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6"/>
    <col collapsed="false" customWidth="true" hidden="false" outlineLevel="0" max="3" min="3" style="1" width="44"/>
    <col collapsed="false" customWidth="true" hidden="false" outlineLevel="0" max="4" min="4" style="1" width="18"/>
    <col collapsed="false" customWidth="true" hidden="false" outlineLevel="0" max="5" min="5" style="1" width="7"/>
    <col collapsed="false" customWidth="true" hidden="false" outlineLevel="0" max="8" min="6" style="1" width="16"/>
    <col collapsed="false" customWidth="true" hidden="false" outlineLevel="0" max="10" min="9" style="1" width="18"/>
    <col collapsed="false" customWidth="true" hidden="false" outlineLevel="0" max="11" min="11" style="1" width="16"/>
    <col collapsed="false" customWidth="true" hidden="false" outlineLevel="0" max="12" min="12" style="1" width="10"/>
  </cols>
  <sheetData>
    <row r="2" customFormat="false" ht="31.5" hidden="false" customHeight="true" outlineLevel="0" collapsed="false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7.5" hidden="false" customHeight="true" outlineLevel="0" collapsed="false"/>
    <row r="4" customFormat="false" ht="21.75" hidden="false" customHeight="true" outlineLevel="0" collapsed="false">
      <c r="B4" s="3" t="s">
        <v>1</v>
      </c>
      <c r="C4" s="4" t="s">
        <v>2</v>
      </c>
      <c r="D4" s="4"/>
      <c r="E4" s="4"/>
      <c r="F4" s="4"/>
      <c r="G4" s="4"/>
      <c r="H4" s="4"/>
      <c r="I4" s="4"/>
      <c r="J4" s="4"/>
      <c r="K4" s="4"/>
      <c r="L4" s="4"/>
    </row>
    <row r="5" customFormat="false" ht="18" hidden="false" customHeight="true" outlineLevel="0" collapsed="false">
      <c r="B5" s="3" t="s">
        <v>3</v>
      </c>
      <c r="C5" s="4" t="s">
        <v>4</v>
      </c>
      <c r="D5" s="4"/>
      <c r="E5" s="4"/>
      <c r="F5" s="4"/>
      <c r="G5" s="4"/>
      <c r="H5" s="4"/>
      <c r="I5" s="4"/>
      <c r="J5" s="4"/>
      <c r="K5" s="4"/>
      <c r="L5" s="4"/>
    </row>
    <row r="6" customFormat="false" ht="18" hidden="false" customHeight="true" outlineLevel="0" collapsed="false">
      <c r="B6" s="3" t="s">
        <v>5</v>
      </c>
      <c r="C6" s="4" t="s">
        <v>6</v>
      </c>
      <c r="D6" s="4"/>
      <c r="E6" s="4"/>
      <c r="F6" s="4"/>
      <c r="G6" s="4"/>
      <c r="H6" s="4"/>
      <c r="I6" s="4"/>
      <c r="J6" s="4"/>
      <c r="K6" s="4"/>
      <c r="L6" s="4"/>
    </row>
    <row r="7" customFormat="false" ht="18" hidden="false" customHeight="true" outlineLevel="0" collapsed="false">
      <c r="B7" s="3" t="s">
        <v>7</v>
      </c>
      <c r="C7" s="4" t="s">
        <v>8</v>
      </c>
      <c r="D7" s="4"/>
      <c r="E7" s="4"/>
      <c r="F7" s="4"/>
      <c r="G7" s="4"/>
      <c r="H7" s="4"/>
      <c r="I7" s="4"/>
      <c r="J7" s="4"/>
      <c r="K7" s="4"/>
      <c r="L7" s="4"/>
    </row>
    <row r="8" customFormat="false" ht="18" hidden="false" customHeight="true" outlineLevel="0" collapsed="false">
      <c r="B8" s="3" t="s">
        <v>9</v>
      </c>
      <c r="C8" s="4" t="s">
        <v>10</v>
      </c>
      <c r="D8" s="4"/>
      <c r="E8" s="4"/>
      <c r="F8" s="4"/>
      <c r="G8" s="4"/>
      <c r="H8" s="4"/>
      <c r="I8" s="4"/>
      <c r="J8" s="4"/>
      <c r="K8" s="4"/>
      <c r="L8" s="4"/>
    </row>
    <row r="9" customFormat="false" ht="18" hidden="false" customHeight="true" outlineLevel="0" collapsed="false">
      <c r="B9" s="3" t="s">
        <v>11</v>
      </c>
      <c r="C9" s="4" t="s">
        <v>12</v>
      </c>
      <c r="D9" s="4"/>
      <c r="E9" s="4"/>
      <c r="F9" s="4"/>
      <c r="G9" s="4"/>
      <c r="H9" s="4"/>
      <c r="I9" s="4"/>
      <c r="J9" s="4"/>
      <c r="K9" s="4"/>
      <c r="L9" s="4"/>
    </row>
    <row r="10" customFormat="false" ht="18" hidden="false" customHeight="true" outlineLevel="0" collapsed="false">
      <c r="B10" s="3" t="s">
        <v>13</v>
      </c>
      <c r="C10" s="4" t="s">
        <v>14</v>
      </c>
      <c r="D10" s="4"/>
      <c r="E10" s="4"/>
      <c r="F10" s="4"/>
      <c r="G10" s="4"/>
      <c r="H10" s="4"/>
      <c r="I10" s="4"/>
      <c r="J10" s="4"/>
      <c r="K10" s="4"/>
      <c r="L10" s="4"/>
    </row>
    <row r="13" customFormat="false" ht="21.75" hidden="false" customHeight="true" outlineLevel="0" collapsed="false">
      <c r="B13" s="5" t="s">
        <v>15</v>
      </c>
      <c r="C13" s="5"/>
      <c r="D13" s="5"/>
      <c r="E13" s="5"/>
      <c r="F13" s="5"/>
      <c r="G13" s="5"/>
      <c r="H13" s="5"/>
      <c r="I13" s="5"/>
      <c r="J13" s="5"/>
      <c r="K13" s="5"/>
      <c r="L13" s="5"/>
    </row>
    <row r="14" customFormat="false" ht="27.75" hidden="false" customHeight="true" outlineLevel="0" collapsed="false">
      <c r="B14" s="6" t="s">
        <v>16</v>
      </c>
      <c r="C14" s="6" t="s">
        <v>17</v>
      </c>
      <c r="D14" s="6" t="s">
        <v>18</v>
      </c>
      <c r="E14" s="6" t="s">
        <v>19</v>
      </c>
      <c r="F14" s="6" t="s">
        <v>20</v>
      </c>
      <c r="G14" s="6" t="s">
        <v>21</v>
      </c>
      <c r="H14" s="6" t="s">
        <v>22</v>
      </c>
      <c r="I14" s="6" t="s">
        <v>23</v>
      </c>
      <c r="J14" s="6" t="s">
        <v>24</v>
      </c>
      <c r="K14" s="6" t="s">
        <v>25</v>
      </c>
      <c r="L14" s="6" t="s">
        <v>26</v>
      </c>
    </row>
    <row r="15" customFormat="false" ht="21.75" hidden="false" customHeight="true" outlineLevel="0" collapsed="false">
      <c r="B15" s="7" t="s">
        <v>27</v>
      </c>
      <c r="C15" s="8" t="s">
        <v>28</v>
      </c>
      <c r="D15" s="7" t="s">
        <v>29</v>
      </c>
      <c r="E15" s="7" t="n">
        <v>1</v>
      </c>
      <c r="F15" s="9" t="n">
        <f aca="false">L01_Lestari!H20</f>
        <v>24000000</v>
      </c>
      <c r="G15" s="9" t="n">
        <f aca="false">L01_Lestari!H26</f>
        <v>100000</v>
      </c>
      <c r="H15" s="9" t="n">
        <f aca="false">L01_Lestari!H34</f>
        <v>16925000</v>
      </c>
      <c r="I15" s="9" t="n">
        <f aca="false">L01_Lestari!H36</f>
        <v>41025000</v>
      </c>
      <c r="J15" s="9" t="n">
        <v>41025000</v>
      </c>
      <c r="K15" s="9" t="n">
        <f aca="false">I15-J15</f>
        <v>0</v>
      </c>
      <c r="L15" s="7" t="str">
        <f aca="false">IF(L01_Lestari!$H$33&lt;0,"OVER","OK")</f>
        <v>OK</v>
      </c>
    </row>
    <row r="16" customFormat="false" ht="21.75" hidden="false" customHeight="true" outlineLevel="0" collapsed="false">
      <c r="B16" s="10" t="s">
        <v>30</v>
      </c>
      <c r="C16" s="11" t="s">
        <v>31</v>
      </c>
      <c r="D16" s="10" t="s">
        <v>32</v>
      </c>
      <c r="E16" s="10" t="n">
        <v>1</v>
      </c>
      <c r="F16" s="12" t="n">
        <f aca="false">L02_TriMakmur!H20</f>
        <v>24000000</v>
      </c>
      <c r="G16" s="12" t="n">
        <f aca="false">L02_TriMakmur!H31</f>
        <v>4091325</v>
      </c>
      <c r="H16" s="12" t="n">
        <f aca="false">L02_TriMakmur!H42</f>
        <v>47428496</v>
      </c>
      <c r="I16" s="12" t="n">
        <f aca="false">L02_TriMakmur!H44</f>
        <v>75519821</v>
      </c>
      <c r="J16" s="12" t="n">
        <v>75519821</v>
      </c>
      <c r="K16" s="12" t="n">
        <f aca="false">I16-J16</f>
        <v>0</v>
      </c>
      <c r="L16" s="10" t="str">
        <f aca="false">IF(L02_TriMakmur!$H$41&lt;0,"OVER","OK")</f>
        <v>OK</v>
      </c>
    </row>
    <row r="17" customFormat="false" ht="21.75" hidden="false" customHeight="true" outlineLevel="0" collapsed="false">
      <c r="B17" s="7" t="s">
        <v>33</v>
      </c>
      <c r="C17" s="8" t="s">
        <v>34</v>
      </c>
      <c r="D17" s="7" t="s">
        <v>35</v>
      </c>
      <c r="E17" s="7" t="n">
        <v>1</v>
      </c>
      <c r="F17" s="9" t="n">
        <f aca="false">L03_Sepakat!H20</f>
        <v>24000000</v>
      </c>
      <c r="G17" s="9" t="n">
        <f aca="false">L03_Sepakat!H26</f>
        <v>100000</v>
      </c>
      <c r="H17" s="9" t="n">
        <f aca="false">L03_Sepakat!H35</f>
        <v>-4088858</v>
      </c>
      <c r="I17" s="9" t="n">
        <f aca="false">L03_Sepakat!H37</f>
        <v>20011142</v>
      </c>
      <c r="J17" s="9" t="n">
        <v>20011142</v>
      </c>
      <c r="K17" s="9" t="n">
        <f aca="false">I17-J17</f>
        <v>0</v>
      </c>
      <c r="L17" s="7" t="str">
        <f aca="false">IF(L03_Sepakat!$H$34&lt;0,"OVER","OK")</f>
        <v>OVER</v>
      </c>
    </row>
    <row r="18" customFormat="false" ht="21.75" hidden="false" customHeight="true" outlineLevel="0" collapsed="false">
      <c r="B18" s="10" t="s">
        <v>36</v>
      </c>
      <c r="C18" s="11" t="s">
        <v>37</v>
      </c>
      <c r="D18" s="10" t="s">
        <v>32</v>
      </c>
      <c r="E18" s="10" t="n">
        <v>1</v>
      </c>
      <c r="F18" s="12" t="n">
        <f aca="false">L04_HarapanMakmur!H20</f>
        <v>15000000</v>
      </c>
      <c r="G18" s="12" t="n">
        <f aca="false">L04_HarapanMakmur!H31</f>
        <v>4091325</v>
      </c>
      <c r="H18" s="12" t="n">
        <f aca="false">L04_HarapanMakmur!H42</f>
        <v>52454790</v>
      </c>
      <c r="I18" s="12" t="n">
        <f aca="false">L04_HarapanMakmur!H44</f>
        <v>71546115</v>
      </c>
      <c r="J18" s="12" t="n">
        <v>71546115</v>
      </c>
      <c r="K18" s="12" t="n">
        <f aca="false">I18-J18</f>
        <v>0</v>
      </c>
      <c r="L18" s="10" t="str">
        <f aca="false">IF(L04_HarapanMakmur!$H$41&lt;0,"OVER","OK")</f>
        <v>OK</v>
      </c>
    </row>
    <row r="19" customFormat="false" ht="21.75" hidden="false" customHeight="true" outlineLevel="0" collapsed="false">
      <c r="B19" s="7" t="s">
        <v>38</v>
      </c>
      <c r="C19" s="8" t="s">
        <v>39</v>
      </c>
      <c r="D19" s="7" t="s">
        <v>32</v>
      </c>
      <c r="E19" s="7" t="n">
        <v>1</v>
      </c>
      <c r="F19" s="9" t="n">
        <f aca="false">L05a_DianBelato!H20</f>
        <v>15000000</v>
      </c>
      <c r="G19" s="9" t="n">
        <f aca="false">L05a_DianBelato!H31</f>
        <v>4091325</v>
      </c>
      <c r="H19" s="9" t="n">
        <f aca="false">L05a_DianBelato!H42</f>
        <v>97109162</v>
      </c>
      <c r="I19" s="9" t="n">
        <f aca="false">L05a_DianBelato!H44</f>
        <v>116200487</v>
      </c>
      <c r="J19" s="9" t="n">
        <v>116200487</v>
      </c>
      <c r="K19" s="9" t="n">
        <f aca="false">I19-J19</f>
        <v>0</v>
      </c>
      <c r="L19" s="7" t="str">
        <f aca="false">IF(L05a_DianBelato!$H$41&lt;0,"OVER","OK")</f>
        <v>OK</v>
      </c>
    </row>
    <row r="20" customFormat="false" ht="21.75" hidden="false" customHeight="true" outlineLevel="0" collapsed="false">
      <c r="B20" s="10" t="s">
        <v>40</v>
      </c>
      <c r="C20" s="11" t="s">
        <v>41</v>
      </c>
      <c r="D20" s="10" t="s">
        <v>32</v>
      </c>
      <c r="E20" s="10" t="n">
        <v>1</v>
      </c>
      <c r="F20" s="12" t="n">
        <f aca="false">L05b_DianBelato!H20</f>
        <v>15000000</v>
      </c>
      <c r="G20" s="12" t="n">
        <f aca="false">L05b_DianBelato!H31</f>
        <v>4091325</v>
      </c>
      <c r="H20" s="12" t="n">
        <f aca="false">L05b_DianBelato!H42</f>
        <v>97109162</v>
      </c>
      <c r="I20" s="12" t="n">
        <f aca="false">L05b_DianBelato!H44</f>
        <v>116200487</v>
      </c>
      <c r="J20" s="12" t="n">
        <v>116200487</v>
      </c>
      <c r="K20" s="12" t="n">
        <f aca="false">I20-J20</f>
        <v>0</v>
      </c>
      <c r="L20" s="10" t="str">
        <f aca="false">IF(L05b_DianBelato!$H$41&lt;0,"OVER","OK")</f>
        <v>OK</v>
      </c>
    </row>
    <row r="21" customFormat="false" ht="21.75" hidden="false" customHeight="true" outlineLevel="0" collapsed="false">
      <c r="B21" s="7" t="s">
        <v>42</v>
      </c>
      <c r="C21" s="8" t="s">
        <v>43</v>
      </c>
      <c r="D21" s="7" t="s">
        <v>29</v>
      </c>
      <c r="E21" s="7" t="n">
        <v>1</v>
      </c>
      <c r="F21" s="9" t="n">
        <f aca="false">L06_PayoLebar!H20</f>
        <v>24000000</v>
      </c>
      <c r="G21" s="9" t="n">
        <f aca="false">L06_PayoLebar!H27</f>
        <v>2500000</v>
      </c>
      <c r="H21" s="9" t="n">
        <f aca="false">L06_PayoLebar!H35</f>
        <v>14750000</v>
      </c>
      <c r="I21" s="9" t="n">
        <f aca="false">L06_PayoLebar!H37</f>
        <v>41250000</v>
      </c>
      <c r="J21" s="9" t="n">
        <v>41250000</v>
      </c>
      <c r="K21" s="9" t="n">
        <f aca="false">I21-J21</f>
        <v>0</v>
      </c>
      <c r="L21" s="7" t="str">
        <f aca="false">IF(L06_PayoLebar!$H$34&lt;0,"OVER","OK")</f>
        <v>OK</v>
      </c>
    </row>
    <row r="22" customFormat="false" ht="21.75" hidden="false" customHeight="true" outlineLevel="0" collapsed="false">
      <c r="B22" s="10" t="s">
        <v>44</v>
      </c>
      <c r="C22" s="11" t="s">
        <v>45</v>
      </c>
      <c r="D22" s="10" t="s">
        <v>32</v>
      </c>
      <c r="E22" s="10" t="n">
        <v>1</v>
      </c>
      <c r="F22" s="12" t="n">
        <f aca="false">L07_PudingMas!H20</f>
        <v>20400000</v>
      </c>
      <c r="G22" s="12" t="n">
        <f aca="false">L07_PudingMas!H31</f>
        <v>4091325</v>
      </c>
      <c r="H22" s="12" t="n">
        <f aca="false">L07_PudingMas!H42</f>
        <v>50294273</v>
      </c>
      <c r="I22" s="12" t="n">
        <f aca="false">L07_PudingMas!H44</f>
        <v>74785598</v>
      </c>
      <c r="J22" s="12" t="n">
        <v>74785598</v>
      </c>
      <c r="K22" s="12" t="n">
        <f aca="false">I22-J22</f>
        <v>0</v>
      </c>
      <c r="L22" s="10" t="str">
        <f aca="false">IF(L07_PudingMas!$H$41&lt;0,"OVER","OK")</f>
        <v>OK</v>
      </c>
    </row>
    <row r="23" customFormat="false" ht="21.75" hidden="false" customHeight="true" outlineLevel="0" collapsed="false">
      <c r="B23" s="7" t="s">
        <v>46</v>
      </c>
      <c r="C23" s="8" t="s">
        <v>47</v>
      </c>
      <c r="D23" s="7" t="s">
        <v>32</v>
      </c>
      <c r="E23" s="7" t="n">
        <v>1</v>
      </c>
      <c r="F23" s="9" t="n">
        <f aca="false">L08a_TanjungAur!H20</f>
        <v>27000000</v>
      </c>
      <c r="G23" s="9" t="n">
        <f aca="false">L08a_TanjungAur!H31</f>
        <v>4091325</v>
      </c>
      <c r="H23" s="9" t="n">
        <f aca="false">L08a_TanjungAur!H42</f>
        <v>73700588</v>
      </c>
      <c r="I23" s="9" t="n">
        <f aca="false">L08a_TanjungAur!H44</f>
        <v>104791913</v>
      </c>
      <c r="J23" s="9" t="n">
        <v>104791913</v>
      </c>
      <c r="K23" s="9" t="n">
        <f aca="false">I23-J23</f>
        <v>0</v>
      </c>
      <c r="L23" s="7" t="str">
        <f aca="false">IF(L08a_TanjungAur!$H$41&lt;0,"OVER","OK")</f>
        <v>OK</v>
      </c>
    </row>
    <row r="24" customFormat="false" ht="21.75" hidden="false" customHeight="true" outlineLevel="0" collapsed="false">
      <c r="B24" s="10" t="s">
        <v>48</v>
      </c>
      <c r="C24" s="11" t="s">
        <v>49</v>
      </c>
      <c r="D24" s="10" t="s">
        <v>32</v>
      </c>
      <c r="E24" s="10" t="n">
        <v>1</v>
      </c>
      <c r="F24" s="12" t="n">
        <f aca="false">L08b_TanjungAur!H20</f>
        <v>27000000</v>
      </c>
      <c r="G24" s="12" t="n">
        <f aca="false">L08b_TanjungAur!H31</f>
        <v>4091325</v>
      </c>
      <c r="H24" s="12" t="n">
        <f aca="false">L08b_TanjungAur!H42</f>
        <v>73700588</v>
      </c>
      <c r="I24" s="12" t="n">
        <f aca="false">L08b_TanjungAur!H44</f>
        <v>104791913</v>
      </c>
      <c r="J24" s="12" t="n">
        <v>104791913</v>
      </c>
      <c r="K24" s="12" t="n">
        <f aca="false">I24-J24</f>
        <v>0</v>
      </c>
      <c r="L24" s="10" t="str">
        <f aca="false">IF(L08b_TanjungAur!$H$41&lt;0,"OVER","OK")</f>
        <v>OK</v>
      </c>
    </row>
    <row r="25" customFormat="false" ht="21.75" hidden="false" customHeight="true" outlineLevel="0" collapsed="false">
      <c r="B25" s="7" t="s">
        <v>50</v>
      </c>
      <c r="C25" s="8" t="s">
        <v>51</v>
      </c>
      <c r="D25" s="7" t="s">
        <v>32</v>
      </c>
      <c r="E25" s="7" t="n">
        <v>1</v>
      </c>
      <c r="F25" s="9" t="n">
        <f aca="false">L08c_TanjungAur!H20</f>
        <v>27000000</v>
      </c>
      <c r="G25" s="9" t="n">
        <f aca="false">L08c_TanjungAur!H31</f>
        <v>4091325</v>
      </c>
      <c r="H25" s="9" t="n">
        <f aca="false">L08c_TanjungAur!H42</f>
        <v>73700588</v>
      </c>
      <c r="I25" s="9" t="n">
        <f aca="false">L08c_TanjungAur!H44</f>
        <v>104791913</v>
      </c>
      <c r="J25" s="9" t="n">
        <v>104791913</v>
      </c>
      <c r="K25" s="9" t="n">
        <f aca="false">I25-J25</f>
        <v>0</v>
      </c>
      <c r="L25" s="7" t="str">
        <f aca="false">IF(L08c_TanjungAur!$H$41&lt;0,"OVER","OK")</f>
        <v>OK</v>
      </c>
    </row>
    <row r="26" customFormat="false" ht="21.75" hidden="false" customHeight="true" outlineLevel="0" collapsed="false">
      <c r="B26" s="10" t="s">
        <v>52</v>
      </c>
      <c r="C26" s="11" t="s">
        <v>53</v>
      </c>
      <c r="D26" s="10" t="s">
        <v>32</v>
      </c>
      <c r="E26" s="10" t="n">
        <v>1</v>
      </c>
      <c r="F26" s="12" t="n">
        <f aca="false">L09_BerkatMulia!H20</f>
        <v>25200000</v>
      </c>
      <c r="G26" s="12" t="n">
        <f aca="false">L09_BerkatMulia!H31</f>
        <v>4091325</v>
      </c>
      <c r="H26" s="12" t="n">
        <f aca="false">L09_BerkatMulia!H42</f>
        <v>46648237</v>
      </c>
      <c r="I26" s="12" t="n">
        <f aca="false">L09_BerkatMulia!H44</f>
        <v>75939562</v>
      </c>
      <c r="J26" s="12" t="n">
        <v>75939562</v>
      </c>
      <c r="K26" s="12" t="n">
        <f aca="false">I26-J26</f>
        <v>0</v>
      </c>
      <c r="L26" s="10" t="str">
        <f aca="false">IF(L09_BerkatMulia!$H$41&lt;0,"OVER","OK")</f>
        <v>OK</v>
      </c>
    </row>
    <row r="27" customFormat="false" ht="27.75" hidden="false" customHeight="true" outlineLevel="0" collapsed="false">
      <c r="B27" s="13" t="s">
        <v>54</v>
      </c>
      <c r="C27" s="13"/>
      <c r="D27" s="13"/>
      <c r="E27" s="13"/>
      <c r="F27" s="14" t="n">
        <f aca="false">SUM(F15:F26)</f>
        <v>267600000</v>
      </c>
      <c r="G27" s="14" t="n">
        <f aca="false">SUM(G15:G26)</f>
        <v>39521925</v>
      </c>
      <c r="H27" s="14" t="n">
        <f aca="false">SUM(H15:H26)</f>
        <v>639732026</v>
      </c>
      <c r="I27" s="15" t="n">
        <f aca="false">SUM(I15:I26)</f>
        <v>946853951</v>
      </c>
      <c r="J27" s="14" t="n">
        <f aca="false">SUM(J15:J26)</f>
        <v>946853951</v>
      </c>
      <c r="K27" s="14" t="n">
        <f aca="false">SUM(K15:K26)</f>
        <v>0</v>
      </c>
      <c r="L27" s="16" t="str">
        <f aca="false">IF(COUNTIF(L15:L26,"OVER")&gt;0,"OVER","OK")</f>
        <v>OVER</v>
      </c>
    </row>
    <row r="30" customFormat="false" ht="15" hidden="false" customHeight="true" outlineLevel="0" collapsed="false">
      <c r="B30" s="17" t="s">
        <v>55</v>
      </c>
    </row>
    <row r="31" customFormat="false" ht="18" hidden="false" customHeight="true" outlineLevel="0" collapsed="false">
      <c r="B31" s="18" t="s">
        <v>56</v>
      </c>
      <c r="C31" s="18"/>
      <c r="D31" s="18"/>
      <c r="E31" s="18"/>
      <c r="F31" s="18"/>
      <c r="G31" s="18"/>
      <c r="H31" s="18"/>
      <c r="I31" s="18"/>
      <c r="J31" s="18"/>
      <c r="K31" s="18"/>
      <c r="L31" s="18"/>
    </row>
    <row r="32" customFormat="false" ht="18" hidden="false" customHeight="true" outlineLevel="0" collapsed="false">
      <c r="B32" s="18" t="s">
        <v>57</v>
      </c>
      <c r="C32" s="18"/>
      <c r="D32" s="18"/>
      <c r="E32" s="18"/>
      <c r="F32" s="18"/>
      <c r="G32" s="18"/>
      <c r="H32" s="18"/>
      <c r="I32" s="18"/>
      <c r="J32" s="18"/>
      <c r="K32" s="18"/>
      <c r="L32" s="18"/>
    </row>
    <row r="33" customFormat="false" ht="18" hidden="false" customHeight="true" outlineLevel="0" collapsed="false">
      <c r="B33" s="18" t="s">
        <v>58</v>
      </c>
      <c r="C33" s="18"/>
      <c r="D33" s="18"/>
      <c r="E33" s="18"/>
      <c r="F33" s="18"/>
      <c r="G33" s="18"/>
      <c r="H33" s="18"/>
      <c r="I33" s="18"/>
      <c r="J33" s="18"/>
      <c r="K33" s="18"/>
      <c r="L33" s="18"/>
    </row>
    <row r="34" customFormat="false" ht="18" hidden="false" customHeight="true" outlineLevel="0" collapsed="false">
      <c r="B34" s="18" t="s">
        <v>59</v>
      </c>
      <c r="C34" s="18"/>
      <c r="D34" s="18"/>
      <c r="E34" s="18"/>
      <c r="F34" s="18"/>
      <c r="G34" s="18"/>
      <c r="H34" s="18"/>
      <c r="I34" s="18"/>
      <c r="J34" s="18"/>
      <c r="K34" s="18"/>
      <c r="L34" s="18"/>
    </row>
    <row r="35" customFormat="false" ht="18" hidden="false" customHeight="true" outlineLevel="0" collapsed="false">
      <c r="B35" s="18" t="s">
        <v>60</v>
      </c>
      <c r="C35" s="18"/>
      <c r="D35" s="18"/>
      <c r="E35" s="18"/>
      <c r="F35" s="18"/>
      <c r="G35" s="18"/>
      <c r="H35" s="18"/>
      <c r="I35" s="18"/>
      <c r="J35" s="18"/>
      <c r="K35" s="18"/>
      <c r="L35" s="18"/>
    </row>
    <row r="36" customFormat="false" ht="18" hidden="false" customHeight="true" outlineLevel="0" collapsed="false">
      <c r="B36" s="18" t="s">
        <v>61</v>
      </c>
      <c r="C36" s="18"/>
      <c r="D36" s="18"/>
      <c r="E36" s="18"/>
      <c r="F36" s="18"/>
      <c r="G36" s="18"/>
      <c r="H36" s="18"/>
      <c r="I36" s="18"/>
      <c r="J36" s="18"/>
      <c r="K36" s="18"/>
      <c r="L36" s="18"/>
    </row>
    <row r="37" customFormat="false" ht="18" hidden="false" customHeight="true" outlineLevel="0" collapsed="false">
      <c r="B37" s="18" t="s">
        <v>62</v>
      </c>
      <c r="C37" s="18"/>
      <c r="D37" s="18"/>
      <c r="E37" s="18"/>
      <c r="F37" s="18"/>
      <c r="G37" s="18"/>
      <c r="H37" s="18"/>
      <c r="I37" s="18"/>
      <c r="J37" s="18"/>
      <c r="K37" s="18"/>
      <c r="L37" s="18"/>
    </row>
    <row r="38" customFormat="false" ht="18" hidden="false" customHeight="true" outlineLevel="0" collapsed="false">
      <c r="B38" s="18" t="s">
        <v>63</v>
      </c>
      <c r="C38" s="18"/>
      <c r="D38" s="18"/>
      <c r="E38" s="18"/>
      <c r="F38" s="18"/>
      <c r="G38" s="18"/>
      <c r="H38" s="18"/>
      <c r="I38" s="18"/>
      <c r="J38" s="18"/>
      <c r="K38" s="18"/>
      <c r="L38" s="18"/>
    </row>
    <row r="39" customFormat="false" ht="18" hidden="false" customHeight="true" outlineLevel="0" collapsed="false">
      <c r="B39" s="18" t="s">
        <v>64</v>
      </c>
      <c r="C39" s="18"/>
      <c r="D39" s="18"/>
      <c r="E39" s="18"/>
      <c r="F39" s="18"/>
      <c r="G39" s="18"/>
      <c r="H39" s="18"/>
      <c r="I39" s="18"/>
      <c r="J39" s="18"/>
      <c r="K39" s="18"/>
      <c r="L39" s="18"/>
    </row>
    <row r="40" customFormat="false" ht="18" hidden="false" customHeight="true" outlineLevel="0" collapsed="false">
      <c r="B40" s="18" t="s">
        <v>65</v>
      </c>
      <c r="C40" s="18"/>
      <c r="D40" s="18"/>
      <c r="E40" s="18"/>
      <c r="F40" s="18"/>
      <c r="G40" s="18"/>
      <c r="H40" s="18"/>
      <c r="I40" s="18"/>
      <c r="J40" s="18"/>
      <c r="K40" s="18"/>
      <c r="L40" s="18"/>
    </row>
    <row r="41" customFormat="false" ht="18" hidden="false" customHeight="true" outlineLevel="0" collapsed="false">
      <c r="B41" s="18" t="s">
        <v>66</v>
      </c>
      <c r="C41" s="18"/>
      <c r="D41" s="18"/>
      <c r="E41" s="18"/>
      <c r="F41" s="18"/>
      <c r="G41" s="18"/>
      <c r="H41" s="18"/>
      <c r="I41" s="18"/>
      <c r="J41" s="18"/>
      <c r="K41" s="18"/>
      <c r="L41" s="18"/>
    </row>
    <row r="42" customFormat="false" ht="18" hidden="false" customHeight="true" outlineLevel="0" collapsed="false">
      <c r="B42" s="18" t="s">
        <v>67</v>
      </c>
      <c r="C42" s="18"/>
      <c r="D42" s="18"/>
      <c r="E42" s="18"/>
      <c r="F42" s="18"/>
      <c r="G42" s="18"/>
      <c r="H42" s="18"/>
      <c r="I42" s="18"/>
      <c r="J42" s="18"/>
      <c r="K42" s="18"/>
      <c r="L42" s="18"/>
    </row>
    <row r="43" customFormat="false" ht="18" hidden="false" customHeight="true" outlineLevel="0" collapsed="false">
      <c r="B43" s="18" t="s">
        <v>68</v>
      </c>
      <c r="C43" s="18"/>
      <c r="D43" s="18"/>
      <c r="E43" s="18"/>
      <c r="F43" s="18"/>
      <c r="G43" s="18"/>
      <c r="H43" s="18"/>
      <c r="I43" s="18"/>
      <c r="J43" s="18"/>
      <c r="K43" s="18"/>
      <c r="L43" s="18"/>
    </row>
    <row r="44" customFormat="false" ht="18" hidden="false" customHeight="true" outlineLevel="0" collapsed="false">
      <c r="B44" s="18" t="s">
        <v>69</v>
      </c>
      <c r="C44" s="18"/>
      <c r="D44" s="18"/>
      <c r="E44" s="18"/>
      <c r="F44" s="18"/>
      <c r="G44" s="18"/>
      <c r="H44" s="18"/>
      <c r="I44" s="18"/>
      <c r="J44" s="18"/>
      <c r="K44" s="18"/>
      <c r="L44" s="18"/>
    </row>
    <row r="45" customFormat="false" ht="18" hidden="false" customHeight="true" outlineLevel="0" collapsed="false">
      <c r="B45" s="18" t="s">
        <v>70</v>
      </c>
      <c r="C45" s="18"/>
      <c r="D45" s="18"/>
      <c r="E45" s="18"/>
      <c r="F45" s="18"/>
      <c r="G45" s="18"/>
      <c r="H45" s="18"/>
      <c r="I45" s="18"/>
      <c r="J45" s="18"/>
      <c r="K45" s="18"/>
      <c r="L45" s="18"/>
    </row>
    <row r="46" customFormat="false" ht="18" hidden="false" customHeight="true" outlineLevel="0" collapsed="false">
      <c r="B46" s="18" t="s">
        <v>71</v>
      </c>
      <c r="C46" s="18"/>
      <c r="D46" s="18"/>
      <c r="E46" s="18"/>
      <c r="F46" s="18"/>
      <c r="G46" s="18"/>
      <c r="H46" s="18"/>
      <c r="I46" s="18"/>
      <c r="J46" s="18"/>
      <c r="K46" s="18"/>
      <c r="L46" s="18"/>
    </row>
    <row r="47" customFormat="false" ht="18" hidden="false" customHeight="true" outlineLevel="0" collapsed="false">
      <c r="B47" s="18" t="s">
        <v>72</v>
      </c>
      <c r="C47" s="18"/>
      <c r="D47" s="18"/>
      <c r="E47" s="18"/>
      <c r="F47" s="18"/>
      <c r="G47" s="18"/>
      <c r="H47" s="18"/>
      <c r="I47" s="18"/>
      <c r="J47" s="18"/>
      <c r="K47" s="18"/>
      <c r="L47" s="18"/>
    </row>
    <row r="48" customFormat="false" ht="18" hidden="false" customHeight="true" outlineLevel="0" collapsed="false">
      <c r="B48" s="18" t="s">
        <v>73</v>
      </c>
      <c r="C48" s="18"/>
      <c r="D48" s="18"/>
      <c r="E48" s="18"/>
      <c r="F48" s="18"/>
      <c r="G48" s="18"/>
      <c r="H48" s="18"/>
      <c r="I48" s="18"/>
      <c r="J48" s="18"/>
      <c r="K48" s="18"/>
      <c r="L48" s="18"/>
    </row>
  </sheetData>
  <mergeCells count="28">
    <mergeCell ref="B2:L2"/>
    <mergeCell ref="C4:L4"/>
    <mergeCell ref="C5:L5"/>
    <mergeCell ref="C6:L6"/>
    <mergeCell ref="C7:L7"/>
    <mergeCell ref="C8:L8"/>
    <mergeCell ref="C9:L9"/>
    <mergeCell ref="C10:L10"/>
    <mergeCell ref="B13:L13"/>
    <mergeCell ref="B27:E27"/>
    <mergeCell ref="B31:L31"/>
    <mergeCell ref="B32:L32"/>
    <mergeCell ref="B33:L33"/>
    <mergeCell ref="B34:L34"/>
    <mergeCell ref="B35:L35"/>
    <mergeCell ref="B36:L36"/>
    <mergeCell ref="B37:L37"/>
    <mergeCell ref="B38:L38"/>
    <mergeCell ref="B39:L39"/>
    <mergeCell ref="B40:L40"/>
    <mergeCell ref="B41:L41"/>
    <mergeCell ref="B42:L42"/>
    <mergeCell ref="B43:L43"/>
    <mergeCell ref="B44:L44"/>
    <mergeCell ref="B45:L45"/>
    <mergeCell ref="B46:L46"/>
    <mergeCell ref="B47:L47"/>
    <mergeCell ref="B48:L48"/>
  </mergeCells>
  <conditionalFormatting sqref="L15:L2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B2:G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10"/>
    <col collapsed="false" customWidth="true" hidden="false" outlineLevel="0" max="4" min="4" style="1" width="28"/>
    <col collapsed="false" customWidth="true" hidden="false" outlineLevel="0" max="5" min="5" style="1" width="62"/>
    <col collapsed="false" customWidth="true" hidden="false" outlineLevel="0" max="6" min="6" style="1" width="12"/>
    <col collapsed="false" customWidth="true" hidden="false" outlineLevel="0" max="7" min="7" style="1" width="18"/>
  </cols>
  <sheetData>
    <row r="2" customFormat="false" ht="31.5" hidden="false" customHeight="true" outlineLevel="0" collapsed="false">
      <c r="B2" s="2" t="s">
        <v>74</v>
      </c>
      <c r="C2" s="2"/>
      <c r="D2" s="2"/>
      <c r="E2" s="2"/>
      <c r="F2" s="2"/>
      <c r="G2" s="2"/>
    </row>
    <row r="3" customFormat="false" ht="7.5" hidden="false" customHeight="true" outlineLevel="0" collapsed="false"/>
    <row r="4" customFormat="false" ht="19.5" hidden="false" customHeight="true" outlineLevel="0" collapsed="false">
      <c r="B4" s="3" t="s">
        <v>75</v>
      </c>
      <c r="C4" s="4" t="s">
        <v>76</v>
      </c>
      <c r="D4" s="4"/>
      <c r="E4" s="4"/>
      <c r="F4" s="4"/>
      <c r="G4" s="4"/>
    </row>
    <row r="5" customFormat="false" ht="19.5" hidden="false" customHeight="true" outlineLevel="0" collapsed="false">
      <c r="B5" s="3" t="s">
        <v>77</v>
      </c>
      <c r="C5" s="4" t="s">
        <v>78</v>
      </c>
      <c r="D5" s="4"/>
      <c r="E5" s="4"/>
      <c r="F5" s="4"/>
      <c r="G5" s="4"/>
    </row>
    <row r="6" customFormat="false" ht="19.5" hidden="false" customHeight="true" outlineLevel="0" collapsed="false">
      <c r="B6" s="3" t="s">
        <v>79</v>
      </c>
      <c r="C6" s="4" t="s">
        <v>80</v>
      </c>
      <c r="D6" s="4"/>
      <c r="E6" s="4"/>
      <c r="F6" s="4"/>
      <c r="G6" s="4"/>
    </row>
    <row r="7" customFormat="false" ht="19.5" hidden="false" customHeight="true" outlineLevel="0" collapsed="false">
      <c r="B7" s="3" t="s">
        <v>9</v>
      </c>
      <c r="C7" s="4" t="s">
        <v>10</v>
      </c>
      <c r="D7" s="4"/>
      <c r="E7" s="4"/>
      <c r="F7" s="4"/>
      <c r="G7" s="4"/>
    </row>
    <row r="8" customFormat="false" ht="33" hidden="false" customHeight="true" outlineLevel="0" collapsed="false">
      <c r="B8" s="3" t="s">
        <v>81</v>
      </c>
      <c r="C8" s="4" t="s">
        <v>82</v>
      </c>
      <c r="D8" s="4"/>
      <c r="E8" s="4"/>
      <c r="F8" s="4"/>
      <c r="G8" s="4"/>
    </row>
    <row r="9" customFormat="false" ht="7.5" hidden="false" customHeight="true" outlineLevel="0" collapsed="false"/>
    <row r="10" customFormat="false" ht="21.75" hidden="false" customHeight="true" outlineLevel="0" collapsed="false">
      <c r="B10" s="19" t="s">
        <v>83</v>
      </c>
      <c r="C10" s="19"/>
      <c r="D10" s="19"/>
      <c r="E10" s="19"/>
      <c r="F10" s="19"/>
      <c r="G10" s="19"/>
    </row>
    <row r="11" customFormat="false" ht="27.75" hidden="false" customHeight="true" outlineLevel="0" collapsed="false">
      <c r="B11" s="6" t="s">
        <v>16</v>
      </c>
      <c r="C11" s="6" t="s">
        <v>84</v>
      </c>
      <c r="D11" s="6" t="s">
        <v>85</v>
      </c>
      <c r="E11" s="6" t="s">
        <v>86</v>
      </c>
      <c r="F11" s="6" t="s">
        <v>87</v>
      </c>
      <c r="G11" s="6" t="s">
        <v>88</v>
      </c>
    </row>
    <row r="12" customFormat="false" ht="48" hidden="false" customHeight="true" outlineLevel="0" collapsed="false">
      <c r="B12" s="7" t="n">
        <v>1</v>
      </c>
      <c r="C12" s="7" t="s">
        <v>89</v>
      </c>
      <c r="D12" s="20" t="s">
        <v>90</v>
      </c>
      <c r="E12" s="20" t="s">
        <v>91</v>
      </c>
      <c r="F12" s="21" t="s">
        <v>92</v>
      </c>
      <c r="G12" s="9" t="n">
        <f aca="false">'Rincian Harga'!$F$21</f>
        <v>352000</v>
      </c>
    </row>
    <row r="13" customFormat="false" ht="21.75" hidden="false" customHeight="true" outlineLevel="0" collapsed="false">
      <c r="B13" s="7" t="n">
        <v>2</v>
      </c>
      <c r="C13" s="7" t="s">
        <v>93</v>
      </c>
      <c r="D13" s="20" t="s">
        <v>90</v>
      </c>
      <c r="E13" s="20" t="s">
        <v>94</v>
      </c>
      <c r="F13" s="21" t="s">
        <v>92</v>
      </c>
      <c r="G13" s="9" t="n">
        <f aca="false">'Rincian Harga'!$F$28</f>
        <v>100000</v>
      </c>
    </row>
    <row r="14" customFormat="false" ht="21.75" hidden="false" customHeight="true" outlineLevel="0" collapsed="false">
      <c r="B14" s="7" t="n">
        <v>3</v>
      </c>
      <c r="C14" s="7" t="s">
        <v>95</v>
      </c>
      <c r="D14" s="20" t="s">
        <v>90</v>
      </c>
      <c r="E14" s="20" t="s">
        <v>96</v>
      </c>
      <c r="F14" s="21" t="s">
        <v>92</v>
      </c>
      <c r="G14" s="9" t="n">
        <f aca="false">'Rincian Harga'!$F$35</f>
        <v>28000</v>
      </c>
    </row>
    <row r="15" customFormat="false" ht="21.75" hidden="false" customHeight="true" outlineLevel="0" collapsed="false">
      <c r="B15" s="7" t="n">
        <v>4</v>
      </c>
      <c r="C15" s="7" t="s">
        <v>97</v>
      </c>
      <c r="D15" s="20" t="s">
        <v>90</v>
      </c>
      <c r="E15" s="20" t="s">
        <v>98</v>
      </c>
      <c r="F15" s="21" t="s">
        <v>92</v>
      </c>
      <c r="G15" s="9" t="n">
        <f aca="false">'Rincian Harga'!$F$42</f>
        <v>45000</v>
      </c>
    </row>
    <row r="16" customFormat="false" ht="36" hidden="false" customHeight="true" outlineLevel="0" collapsed="false">
      <c r="B16" s="7" t="n">
        <v>5</v>
      </c>
      <c r="C16" s="7" t="s">
        <v>99</v>
      </c>
      <c r="D16" s="20" t="s">
        <v>90</v>
      </c>
      <c r="E16" s="20" t="s">
        <v>100</v>
      </c>
      <c r="F16" s="21" t="s">
        <v>92</v>
      </c>
      <c r="G16" s="9" t="n">
        <f aca="false">'Rincian Harga'!$F$49</f>
        <v>75000</v>
      </c>
    </row>
    <row r="17" customFormat="false" ht="48" hidden="false" customHeight="true" outlineLevel="0" collapsed="false">
      <c r="B17" s="7" t="n">
        <v>6</v>
      </c>
      <c r="C17" s="7" t="s">
        <v>101</v>
      </c>
      <c r="D17" s="20" t="s">
        <v>90</v>
      </c>
      <c r="E17" s="20" t="s">
        <v>102</v>
      </c>
      <c r="F17" s="21" t="s">
        <v>92</v>
      </c>
      <c r="G17" s="9" t="n">
        <f aca="false">'Rincian Harga'!$F$58</f>
        <v>352000</v>
      </c>
    </row>
    <row r="18" customFormat="false" ht="48" hidden="false" customHeight="true" outlineLevel="0" collapsed="false">
      <c r="B18" s="7" t="n">
        <v>7</v>
      </c>
      <c r="C18" s="7" t="s">
        <v>103</v>
      </c>
      <c r="D18" s="20" t="s">
        <v>90</v>
      </c>
      <c r="E18" s="20" t="s">
        <v>104</v>
      </c>
      <c r="F18" s="21" t="s">
        <v>92</v>
      </c>
      <c r="G18" s="9" t="n">
        <f aca="false">'Rincian Harga'!$F$67</f>
        <v>352000</v>
      </c>
    </row>
    <row r="19" customFormat="false" ht="48" hidden="false" customHeight="true" outlineLevel="0" collapsed="false">
      <c r="B19" s="7" t="n">
        <v>8</v>
      </c>
      <c r="C19" s="7" t="s">
        <v>105</v>
      </c>
      <c r="D19" s="20" t="s">
        <v>90</v>
      </c>
      <c r="E19" s="20" t="s">
        <v>106</v>
      </c>
      <c r="F19" s="21" t="s">
        <v>92</v>
      </c>
      <c r="G19" s="9" t="n">
        <f aca="false">'Rincian Harga'!$F$76</f>
        <v>352000</v>
      </c>
    </row>
    <row r="20" customFormat="false" ht="48" hidden="false" customHeight="true" outlineLevel="0" collapsed="false">
      <c r="B20" s="7" t="n">
        <v>9</v>
      </c>
      <c r="C20" s="7" t="s">
        <v>107</v>
      </c>
      <c r="D20" s="20" t="s">
        <v>90</v>
      </c>
      <c r="E20" s="20" t="s">
        <v>108</v>
      </c>
      <c r="F20" s="21" t="s">
        <v>92</v>
      </c>
      <c r="G20" s="9" t="n">
        <f aca="false">'Rincian Harga'!$F$85</f>
        <v>352000</v>
      </c>
    </row>
    <row r="21" customFormat="false" ht="36" hidden="false" customHeight="true" outlineLevel="0" collapsed="false">
      <c r="B21" s="7" t="n">
        <v>10</v>
      </c>
      <c r="C21" s="7" t="s">
        <v>109</v>
      </c>
      <c r="D21" s="20" t="s">
        <v>110</v>
      </c>
      <c r="E21" s="20" t="s">
        <v>111</v>
      </c>
      <c r="F21" s="21" t="s">
        <v>112</v>
      </c>
      <c r="G21" s="9" t="n">
        <f aca="false">'Rincian Harga'!$F$95</f>
        <v>1000000</v>
      </c>
    </row>
    <row r="22" customFormat="false" ht="36" hidden="false" customHeight="true" outlineLevel="0" collapsed="false">
      <c r="B22" s="7" t="n">
        <v>11</v>
      </c>
      <c r="C22" s="7" t="s">
        <v>113</v>
      </c>
      <c r="D22" s="20" t="s">
        <v>110</v>
      </c>
      <c r="E22" s="20" t="s">
        <v>114</v>
      </c>
      <c r="F22" s="21" t="s">
        <v>112</v>
      </c>
      <c r="G22" s="9" t="n">
        <f aca="false">'Rincian Harga'!$F$100</f>
        <v>47500</v>
      </c>
    </row>
    <row r="23" customFormat="false" ht="21.75" hidden="false" customHeight="true" outlineLevel="0" collapsed="false">
      <c r="B23" s="7" t="n">
        <v>12</v>
      </c>
      <c r="C23" s="7" t="s">
        <v>115</v>
      </c>
      <c r="D23" s="20" t="s">
        <v>110</v>
      </c>
      <c r="E23" s="20" t="s">
        <v>116</v>
      </c>
      <c r="F23" s="21" t="s">
        <v>112</v>
      </c>
      <c r="G23" s="9" t="n">
        <f aca="false">'Rincian Harga'!$F$105</f>
        <v>90000</v>
      </c>
    </row>
    <row r="24" customFormat="false" ht="21.75" hidden="false" customHeight="true" outlineLevel="0" collapsed="false">
      <c r="B24" s="7" t="n">
        <v>13</v>
      </c>
      <c r="C24" s="7" t="s">
        <v>117</v>
      </c>
      <c r="D24" s="20" t="s">
        <v>110</v>
      </c>
      <c r="E24" s="20" t="s">
        <v>118</v>
      </c>
      <c r="F24" s="21" t="s">
        <v>112</v>
      </c>
      <c r="G24" s="9" t="n">
        <f aca="false">'Rincian Harga'!$F$110</f>
        <v>130000</v>
      </c>
    </row>
    <row r="25" customFormat="false" ht="36" hidden="false" customHeight="true" outlineLevel="0" collapsed="false">
      <c r="B25" s="7" t="n">
        <v>14</v>
      </c>
      <c r="C25" s="7" t="s">
        <v>119</v>
      </c>
      <c r="D25" s="20" t="s">
        <v>110</v>
      </c>
      <c r="E25" s="20" t="s">
        <v>120</v>
      </c>
      <c r="F25" s="21" t="s">
        <v>112</v>
      </c>
      <c r="G25" s="9" t="n">
        <f aca="false">'Rincian Harga'!$F$117</f>
        <v>700000</v>
      </c>
    </row>
    <row r="26" customFormat="false" ht="36" hidden="false" customHeight="true" outlineLevel="0" collapsed="false">
      <c r="B26" s="7" t="n">
        <v>15</v>
      </c>
      <c r="C26" s="7" t="s">
        <v>121</v>
      </c>
      <c r="D26" s="20" t="s">
        <v>110</v>
      </c>
      <c r="E26" s="20" t="s">
        <v>122</v>
      </c>
      <c r="F26" s="21" t="s">
        <v>112</v>
      </c>
      <c r="G26" s="9" t="n">
        <f aca="false">'Rincian Harga'!$F$125</f>
        <v>1000000</v>
      </c>
    </row>
    <row r="27" customFormat="false" ht="36" hidden="false" customHeight="true" outlineLevel="0" collapsed="false">
      <c r="B27" s="7" t="n">
        <v>16</v>
      </c>
      <c r="C27" s="7" t="s">
        <v>123</v>
      </c>
      <c r="D27" s="20" t="s">
        <v>110</v>
      </c>
      <c r="E27" s="20" t="s">
        <v>124</v>
      </c>
      <c r="F27" s="21" t="s">
        <v>112</v>
      </c>
      <c r="G27" s="9" t="n">
        <f aca="false">'Rincian Harga'!$F$134</f>
        <v>1200000</v>
      </c>
    </row>
    <row r="28" customFormat="false" ht="36" hidden="false" customHeight="true" outlineLevel="0" collapsed="false">
      <c r="B28" s="7" t="n">
        <v>17</v>
      </c>
      <c r="C28" s="7" t="s">
        <v>125</v>
      </c>
      <c r="D28" s="20" t="s">
        <v>126</v>
      </c>
      <c r="E28" s="20" t="s">
        <v>127</v>
      </c>
      <c r="F28" s="21" t="s">
        <v>128</v>
      </c>
      <c r="G28" s="9" t="n">
        <f aca="false">'Rincian Harga'!$F$143</f>
        <v>12500000</v>
      </c>
    </row>
    <row r="29" customFormat="false" ht="36" hidden="false" customHeight="true" outlineLevel="0" collapsed="false">
      <c r="B29" s="7" t="n">
        <v>18</v>
      </c>
      <c r="C29" s="7" t="s">
        <v>129</v>
      </c>
      <c r="D29" s="20" t="s">
        <v>126</v>
      </c>
      <c r="E29" s="20" t="s">
        <v>130</v>
      </c>
      <c r="F29" s="21" t="s">
        <v>131</v>
      </c>
      <c r="G29" s="9" t="n">
        <f aca="false">'Rincian Harga'!$F$150</f>
        <v>1500000</v>
      </c>
    </row>
    <row r="30" customFormat="false" ht="48" hidden="false" customHeight="true" outlineLevel="0" collapsed="false">
      <c r="B30" s="7" t="n">
        <v>19</v>
      </c>
      <c r="C30" s="7" t="s">
        <v>132</v>
      </c>
      <c r="D30" s="20" t="s">
        <v>126</v>
      </c>
      <c r="E30" s="20" t="s">
        <v>133</v>
      </c>
      <c r="F30" s="21" t="s">
        <v>128</v>
      </c>
      <c r="G30" s="9" t="n">
        <f aca="false">'Rincian Harga'!$F$160</f>
        <v>24000000</v>
      </c>
    </row>
    <row r="31" customFormat="false" ht="21.75" hidden="false" customHeight="true" outlineLevel="0" collapsed="false">
      <c r="B31" s="7" t="n">
        <v>20</v>
      </c>
      <c r="C31" s="7" t="s">
        <v>134</v>
      </c>
      <c r="D31" s="20" t="s">
        <v>126</v>
      </c>
      <c r="E31" s="20" t="s">
        <v>135</v>
      </c>
      <c r="F31" s="21" t="s">
        <v>131</v>
      </c>
      <c r="G31" s="9" t="n">
        <f aca="false">'Rincian Harga'!$F$167</f>
        <v>1500000</v>
      </c>
    </row>
    <row r="32" customFormat="false" ht="36" hidden="false" customHeight="true" outlineLevel="0" collapsed="false">
      <c r="B32" s="7" t="n">
        <v>21</v>
      </c>
      <c r="C32" s="7" t="s">
        <v>136</v>
      </c>
      <c r="D32" s="20" t="s">
        <v>126</v>
      </c>
      <c r="E32" s="20" t="s">
        <v>137</v>
      </c>
      <c r="F32" s="21" t="s">
        <v>128</v>
      </c>
      <c r="G32" s="9" t="n">
        <f aca="false">'Rincian Harga'!$F$174</f>
        <v>2100000</v>
      </c>
    </row>
    <row r="33" customFormat="false" ht="60" hidden="false" customHeight="true" outlineLevel="0" collapsed="false">
      <c r="B33" s="7" t="n">
        <v>22</v>
      </c>
      <c r="C33" s="7" t="s">
        <v>138</v>
      </c>
      <c r="D33" s="20" t="s">
        <v>126</v>
      </c>
      <c r="E33" s="20" t="s">
        <v>139</v>
      </c>
      <c r="F33" s="21" t="s">
        <v>140</v>
      </c>
      <c r="G33" s="9" t="n">
        <f aca="false">'Rincian Harga'!$F$183</f>
        <v>4500000</v>
      </c>
    </row>
    <row r="34" customFormat="false" ht="36" hidden="false" customHeight="true" outlineLevel="0" collapsed="false">
      <c r="B34" s="7" t="n">
        <v>23</v>
      </c>
      <c r="C34" s="7" t="s">
        <v>141</v>
      </c>
      <c r="D34" s="20" t="s">
        <v>126</v>
      </c>
      <c r="E34" s="20" t="s">
        <v>142</v>
      </c>
      <c r="F34" s="21" t="s">
        <v>131</v>
      </c>
      <c r="G34" s="9" t="n">
        <f aca="false">'Rincian Harga'!$F$191</f>
        <v>2500000</v>
      </c>
    </row>
    <row r="35" customFormat="false" ht="36" hidden="false" customHeight="true" outlineLevel="0" collapsed="false">
      <c r="B35" s="7" t="n">
        <v>24</v>
      </c>
      <c r="C35" s="7" t="s">
        <v>143</v>
      </c>
      <c r="D35" s="20" t="s">
        <v>126</v>
      </c>
      <c r="E35" s="20" t="s">
        <v>144</v>
      </c>
      <c r="F35" s="21" t="s">
        <v>128</v>
      </c>
      <c r="G35" s="9" t="n">
        <f aca="false">'Rincian Harga'!$F$198</f>
        <v>5000000</v>
      </c>
    </row>
    <row r="36" customFormat="false" ht="36" hidden="false" customHeight="true" outlineLevel="0" collapsed="false">
      <c r="B36" s="7" t="n">
        <v>25</v>
      </c>
      <c r="C36" s="7" t="s">
        <v>145</v>
      </c>
      <c r="D36" s="20" t="s">
        <v>126</v>
      </c>
      <c r="E36" s="20" t="s">
        <v>146</v>
      </c>
      <c r="F36" s="21" t="s">
        <v>131</v>
      </c>
      <c r="G36" s="9" t="n">
        <f aca="false">'Rincian Harga'!$F$206</f>
        <v>1500000</v>
      </c>
    </row>
    <row r="37" customFormat="false" ht="36" hidden="false" customHeight="true" outlineLevel="0" collapsed="false">
      <c r="B37" s="7" t="n">
        <v>26</v>
      </c>
      <c r="C37" s="7" t="s">
        <v>147</v>
      </c>
      <c r="D37" s="20" t="s">
        <v>126</v>
      </c>
      <c r="E37" s="20" t="s">
        <v>148</v>
      </c>
      <c r="F37" s="21" t="s">
        <v>131</v>
      </c>
      <c r="G37" s="9" t="n">
        <f aca="false">'Rincian Harga'!$F$212</f>
        <v>500000</v>
      </c>
    </row>
  </sheetData>
  <mergeCells count="7">
    <mergeCell ref="B2:G2"/>
    <mergeCell ref="C4:G4"/>
    <mergeCell ref="C5:G5"/>
    <mergeCell ref="C6:G6"/>
    <mergeCell ref="C7:G7"/>
    <mergeCell ref="C8:G8"/>
    <mergeCell ref="B10:G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false"/>
  </sheetPr>
  <dimension ref="B2:F2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8"/>
    <col collapsed="false" customWidth="true" hidden="false" outlineLevel="0" max="3" min="3" style="0" width="12"/>
    <col collapsed="false" customWidth="true" hidden="false" outlineLevel="0" max="4" min="4" style="0" width="58"/>
    <col collapsed="false" customWidth="true" hidden="false" outlineLevel="0" max="5" min="5" style="0" width="34"/>
    <col collapsed="false" customWidth="true" hidden="false" outlineLevel="0" max="6" min="6" style="0" width="18"/>
  </cols>
  <sheetData>
    <row r="2" customFormat="false" ht="31.5" hidden="false" customHeight="true" outlineLevel="0" collapsed="false">
      <c r="B2" s="22" t="s">
        <v>149</v>
      </c>
    </row>
    <row r="4" customFormat="false" ht="30" hidden="false" customHeight="true" outlineLevel="0" collapsed="false">
      <c r="B4" s="3" t="s">
        <v>75</v>
      </c>
      <c r="C4" s="23" t="s">
        <v>150</v>
      </c>
    </row>
    <row r="5" customFormat="false" ht="42" hidden="false" customHeight="true" outlineLevel="0" collapsed="false">
      <c r="B5" s="3" t="s">
        <v>77</v>
      </c>
      <c r="C5" s="23" t="s">
        <v>151</v>
      </c>
    </row>
    <row r="6" customFormat="false" ht="42" hidden="false" customHeight="true" outlineLevel="0" collapsed="false">
      <c r="B6" s="3" t="s">
        <v>79</v>
      </c>
      <c r="C6" s="23" t="s">
        <v>152</v>
      </c>
    </row>
    <row r="7" customFormat="false" ht="54" hidden="false" customHeight="true" outlineLevel="0" collapsed="false">
      <c r="B7" s="3" t="s">
        <v>153</v>
      </c>
      <c r="C7" s="23" t="s">
        <v>154</v>
      </c>
    </row>
    <row r="8" customFormat="false" ht="54" hidden="false" customHeight="true" outlineLevel="0" collapsed="false">
      <c r="B8" s="3" t="s">
        <v>155</v>
      </c>
      <c r="C8" s="23" t="s">
        <v>156</v>
      </c>
    </row>
    <row r="10" customFormat="false" ht="21" hidden="false" customHeight="true" outlineLevel="0" collapsed="false">
      <c r="B10" s="24" t="s">
        <v>157</v>
      </c>
      <c r="C10" s="24"/>
      <c r="D10" s="24"/>
      <c r="E10" s="24"/>
      <c r="F10" s="24"/>
    </row>
    <row r="11" customFormat="false" ht="30" hidden="false" customHeight="true" outlineLevel="0" collapsed="false">
      <c r="B11" s="6" t="s">
        <v>16</v>
      </c>
      <c r="C11" s="6" t="s">
        <v>158</v>
      </c>
      <c r="D11" s="6" t="s">
        <v>159</v>
      </c>
      <c r="E11" s="6" t="s">
        <v>160</v>
      </c>
      <c r="F11" s="6" t="s">
        <v>161</v>
      </c>
    </row>
    <row r="12" customFormat="false" ht="21.75" hidden="false" customHeight="true" outlineLevel="0" collapsed="false">
      <c r="B12" s="24" t="s">
        <v>162</v>
      </c>
      <c r="C12" s="24"/>
      <c r="D12" s="24"/>
      <c r="E12" s="24"/>
      <c r="F12" s="24"/>
    </row>
    <row r="13" customFormat="false" ht="42" hidden="false" customHeight="true" outlineLevel="0" collapsed="false">
      <c r="B13" s="25" t="n">
        <v>1</v>
      </c>
      <c r="C13" s="25" t="s">
        <v>89</v>
      </c>
      <c r="D13" s="26" t="s">
        <v>91</v>
      </c>
      <c r="E13" s="26" t="s">
        <v>163</v>
      </c>
      <c r="F13" s="25"/>
    </row>
    <row r="14" customFormat="false" ht="30" hidden="false" customHeight="true" outlineLevel="0" collapsed="false">
      <c r="B14" s="7" t="n">
        <v>1</v>
      </c>
      <c r="C14" s="7" t="s">
        <v>164</v>
      </c>
      <c r="D14" s="20" t="s">
        <v>165</v>
      </c>
      <c r="E14" s="20" t="s">
        <v>166</v>
      </c>
      <c r="F14" s="9" t="n">
        <v>150000</v>
      </c>
    </row>
    <row r="15" customFormat="false" ht="30" hidden="false" customHeight="true" outlineLevel="0" collapsed="false">
      <c r="B15" s="7" t="n">
        <v>2</v>
      </c>
      <c r="C15" s="7" t="s">
        <v>167</v>
      </c>
      <c r="D15" s="20" t="s">
        <v>168</v>
      </c>
      <c r="E15" s="20" t="s">
        <v>169</v>
      </c>
      <c r="F15" s="9" t="n">
        <v>35000</v>
      </c>
    </row>
    <row r="16" customFormat="false" ht="15" hidden="false" customHeight="true" outlineLevel="0" collapsed="false">
      <c r="B16" s="7" t="n">
        <v>3</v>
      </c>
      <c r="C16" s="7" t="s">
        <v>170</v>
      </c>
      <c r="D16" s="20" t="s">
        <v>171</v>
      </c>
      <c r="E16" s="20" t="s">
        <v>172</v>
      </c>
      <c r="F16" s="9" t="n">
        <v>20000</v>
      </c>
    </row>
    <row r="17" customFormat="false" ht="30" hidden="false" customHeight="true" outlineLevel="0" collapsed="false">
      <c r="B17" s="7" t="n">
        <v>4</v>
      </c>
      <c r="C17" s="7" t="s">
        <v>173</v>
      </c>
      <c r="D17" s="20" t="s">
        <v>174</v>
      </c>
      <c r="E17" s="20" t="s">
        <v>175</v>
      </c>
      <c r="F17" s="9" t="n">
        <v>85000</v>
      </c>
    </row>
    <row r="18" customFormat="false" ht="30" hidden="false" customHeight="true" outlineLevel="0" collapsed="false">
      <c r="B18" s="7" t="n">
        <v>5</v>
      </c>
      <c r="C18" s="7" t="s">
        <v>176</v>
      </c>
      <c r="D18" s="20" t="s">
        <v>177</v>
      </c>
      <c r="E18" s="20" t="s">
        <v>178</v>
      </c>
      <c r="F18" s="9" t="n">
        <v>30000</v>
      </c>
    </row>
    <row r="19" customFormat="false" ht="15" hidden="false" customHeight="true" outlineLevel="0" collapsed="false">
      <c r="B19" s="7" t="n">
        <v>6</v>
      </c>
      <c r="C19" s="7" t="s">
        <v>179</v>
      </c>
      <c r="D19" s="20" t="s">
        <v>180</v>
      </c>
      <c r="E19" s="20" t="s">
        <v>181</v>
      </c>
      <c r="F19" s="9" t="n">
        <v>20000</v>
      </c>
    </row>
    <row r="20" customFormat="false" ht="15" hidden="false" customHeight="true" outlineLevel="0" collapsed="false">
      <c r="B20" s="7" t="n">
        <v>7</v>
      </c>
      <c r="C20" s="7" t="s">
        <v>182</v>
      </c>
      <c r="D20" s="20" t="s">
        <v>183</v>
      </c>
      <c r="E20" s="20" t="s">
        <v>184</v>
      </c>
      <c r="F20" s="9" t="n">
        <v>12000</v>
      </c>
    </row>
    <row r="21" customFormat="false" ht="15" hidden="false" customHeight="true" outlineLevel="0" collapsed="false">
      <c r="B21" s="27"/>
      <c r="C21" s="27"/>
      <c r="D21" s="27" t="s">
        <v>185</v>
      </c>
      <c r="E21" s="27" t="s">
        <v>186</v>
      </c>
      <c r="F21" s="14" t="n">
        <f aca="false">SUM(F14:F20)</f>
        <v>352000</v>
      </c>
    </row>
    <row r="22" customFormat="false" ht="15" hidden="false" customHeight="true" outlineLevel="0" collapsed="false">
      <c r="B22" s="25" t="n">
        <v>2</v>
      </c>
      <c r="C22" s="25" t="s">
        <v>93</v>
      </c>
      <c r="D22" s="26" t="s">
        <v>94</v>
      </c>
      <c r="E22" s="26" t="s">
        <v>163</v>
      </c>
      <c r="F22" s="25"/>
    </row>
    <row r="23" customFormat="false" ht="30" hidden="false" customHeight="true" outlineLevel="0" collapsed="false">
      <c r="B23" s="7" t="n">
        <v>1</v>
      </c>
      <c r="C23" s="7" t="s">
        <v>187</v>
      </c>
      <c r="D23" s="20" t="s">
        <v>188</v>
      </c>
      <c r="E23" s="20" t="s">
        <v>189</v>
      </c>
      <c r="F23" s="9" t="n">
        <v>82000</v>
      </c>
    </row>
    <row r="24" customFormat="false" ht="15" hidden="false" customHeight="true" outlineLevel="0" collapsed="false">
      <c r="B24" s="7" t="n">
        <v>2</v>
      </c>
      <c r="C24" s="7" t="s">
        <v>190</v>
      </c>
      <c r="D24" s="20" t="s">
        <v>191</v>
      </c>
      <c r="E24" s="20" t="s">
        <v>192</v>
      </c>
      <c r="F24" s="9" t="n">
        <v>6000</v>
      </c>
    </row>
    <row r="25" customFormat="false" ht="15" hidden="false" customHeight="true" outlineLevel="0" collapsed="false">
      <c r="B25" s="7" t="n">
        <v>3</v>
      </c>
      <c r="C25" s="7" t="s">
        <v>193</v>
      </c>
      <c r="D25" s="20" t="s">
        <v>194</v>
      </c>
      <c r="E25" s="20" t="s">
        <v>195</v>
      </c>
      <c r="F25" s="9" t="n">
        <v>7000</v>
      </c>
    </row>
    <row r="26" customFormat="false" ht="15" hidden="false" customHeight="true" outlineLevel="0" collapsed="false">
      <c r="B26" s="7" t="n">
        <v>4</v>
      </c>
      <c r="C26" s="7" t="s">
        <v>196</v>
      </c>
      <c r="D26" s="20" t="s">
        <v>197</v>
      </c>
      <c r="E26" s="20" t="s">
        <v>198</v>
      </c>
      <c r="F26" s="9" t="n">
        <v>3000</v>
      </c>
    </row>
    <row r="27" customFormat="false" ht="15" hidden="false" customHeight="true" outlineLevel="0" collapsed="false">
      <c r="B27" s="7" t="n">
        <v>5</v>
      </c>
      <c r="C27" s="7" t="s">
        <v>199</v>
      </c>
      <c r="D27" s="20" t="s">
        <v>200</v>
      </c>
      <c r="E27" s="20" t="s">
        <v>201</v>
      </c>
      <c r="F27" s="9" t="n">
        <v>2000</v>
      </c>
    </row>
    <row r="28" customFormat="false" ht="15" hidden="false" customHeight="true" outlineLevel="0" collapsed="false">
      <c r="B28" s="27"/>
      <c r="C28" s="27"/>
      <c r="D28" s="27" t="s">
        <v>202</v>
      </c>
      <c r="E28" s="27" t="s">
        <v>203</v>
      </c>
      <c r="F28" s="14" t="n">
        <f aca="false">SUM(F23:F27)</f>
        <v>100000</v>
      </c>
    </row>
    <row r="29" customFormat="false" ht="15" hidden="false" customHeight="true" outlineLevel="0" collapsed="false">
      <c r="B29" s="25" t="n">
        <v>3</v>
      </c>
      <c r="C29" s="25" t="s">
        <v>95</v>
      </c>
      <c r="D29" s="26" t="s">
        <v>96</v>
      </c>
      <c r="E29" s="26" t="s">
        <v>163</v>
      </c>
      <c r="F29" s="25"/>
    </row>
    <row r="30" customFormat="false" ht="15" hidden="false" customHeight="true" outlineLevel="0" collapsed="false">
      <c r="B30" s="7" t="n">
        <v>1</v>
      </c>
      <c r="C30" s="7" t="s">
        <v>204</v>
      </c>
      <c r="D30" s="20" t="s">
        <v>205</v>
      </c>
      <c r="E30" s="20" t="s">
        <v>206</v>
      </c>
      <c r="F30" s="9" t="n">
        <v>20000</v>
      </c>
    </row>
    <row r="31" customFormat="false" ht="15" hidden="false" customHeight="true" outlineLevel="0" collapsed="false">
      <c r="B31" s="7" t="n">
        <v>2</v>
      </c>
      <c r="C31" s="7" t="s">
        <v>207</v>
      </c>
      <c r="D31" s="20" t="s">
        <v>208</v>
      </c>
      <c r="E31" s="20" t="s">
        <v>198</v>
      </c>
      <c r="F31" s="9" t="n">
        <v>2000</v>
      </c>
    </row>
    <row r="32" customFormat="false" ht="15" hidden="false" customHeight="true" outlineLevel="0" collapsed="false">
      <c r="B32" s="7" t="n">
        <v>3</v>
      </c>
      <c r="C32" s="7" t="s">
        <v>209</v>
      </c>
      <c r="D32" s="20" t="s">
        <v>210</v>
      </c>
      <c r="E32" s="20" t="s">
        <v>195</v>
      </c>
      <c r="F32" s="9" t="n">
        <v>4000</v>
      </c>
    </row>
    <row r="33" customFormat="false" ht="15" hidden="false" customHeight="true" outlineLevel="0" collapsed="false">
      <c r="B33" s="7" t="n">
        <v>4</v>
      </c>
      <c r="C33" s="7" t="s">
        <v>211</v>
      </c>
      <c r="D33" s="20" t="s">
        <v>212</v>
      </c>
      <c r="E33" s="20" t="s">
        <v>198</v>
      </c>
      <c r="F33" s="9" t="n">
        <v>1000</v>
      </c>
    </row>
    <row r="34" customFormat="false" ht="15" hidden="false" customHeight="true" outlineLevel="0" collapsed="false">
      <c r="B34" s="7" t="n">
        <v>5</v>
      </c>
      <c r="C34" s="7" t="s">
        <v>213</v>
      </c>
      <c r="D34" s="20" t="s">
        <v>200</v>
      </c>
      <c r="E34" s="20" t="s">
        <v>214</v>
      </c>
      <c r="F34" s="9" t="n">
        <v>1000</v>
      </c>
    </row>
    <row r="35" customFormat="false" ht="15" hidden="false" customHeight="true" outlineLevel="0" collapsed="false">
      <c r="B35" s="27"/>
      <c r="C35" s="27"/>
      <c r="D35" s="27" t="s">
        <v>215</v>
      </c>
      <c r="E35" s="27" t="s">
        <v>216</v>
      </c>
      <c r="F35" s="14" t="n">
        <f aca="false">SUM(F30:F34)</f>
        <v>28000</v>
      </c>
    </row>
    <row r="36" customFormat="false" ht="15" hidden="false" customHeight="true" outlineLevel="0" collapsed="false">
      <c r="B36" s="25" t="n">
        <v>4</v>
      </c>
      <c r="C36" s="25" t="s">
        <v>97</v>
      </c>
      <c r="D36" s="26" t="s">
        <v>98</v>
      </c>
      <c r="E36" s="26" t="s">
        <v>163</v>
      </c>
      <c r="F36" s="25"/>
    </row>
    <row r="37" customFormat="false" ht="30" hidden="false" customHeight="true" outlineLevel="0" collapsed="false">
      <c r="B37" s="7" t="n">
        <v>1</v>
      </c>
      <c r="C37" s="7" t="s">
        <v>217</v>
      </c>
      <c r="D37" s="20" t="s">
        <v>218</v>
      </c>
      <c r="E37" s="20" t="s">
        <v>219</v>
      </c>
      <c r="F37" s="9" t="n">
        <v>12000</v>
      </c>
    </row>
    <row r="38" customFormat="false" ht="15" hidden="false" customHeight="true" outlineLevel="0" collapsed="false">
      <c r="B38" s="7" t="n">
        <v>2</v>
      </c>
      <c r="C38" s="7" t="s">
        <v>220</v>
      </c>
      <c r="D38" s="20" t="s">
        <v>221</v>
      </c>
      <c r="E38" s="20" t="s">
        <v>222</v>
      </c>
      <c r="F38" s="9" t="n">
        <v>8000</v>
      </c>
    </row>
    <row r="39" customFormat="false" ht="15" hidden="false" customHeight="true" outlineLevel="0" collapsed="false">
      <c r="B39" s="7" t="n">
        <v>3</v>
      </c>
      <c r="C39" s="7" t="s">
        <v>223</v>
      </c>
      <c r="D39" s="20" t="s">
        <v>224</v>
      </c>
      <c r="E39" s="20" t="s">
        <v>195</v>
      </c>
      <c r="F39" s="9" t="n">
        <v>18000</v>
      </c>
    </row>
    <row r="40" customFormat="false" ht="15" hidden="false" customHeight="true" outlineLevel="0" collapsed="false">
      <c r="B40" s="7" t="n">
        <v>4</v>
      </c>
      <c r="C40" s="7" t="s">
        <v>225</v>
      </c>
      <c r="D40" s="20" t="s">
        <v>226</v>
      </c>
      <c r="E40" s="20" t="s">
        <v>198</v>
      </c>
      <c r="F40" s="9" t="n">
        <v>4000</v>
      </c>
    </row>
    <row r="41" customFormat="false" ht="15" hidden="false" customHeight="true" outlineLevel="0" collapsed="false">
      <c r="B41" s="7" t="n">
        <v>5</v>
      </c>
      <c r="C41" s="7" t="s">
        <v>227</v>
      </c>
      <c r="D41" s="20" t="s">
        <v>200</v>
      </c>
      <c r="E41" s="20" t="s">
        <v>228</v>
      </c>
      <c r="F41" s="9" t="n">
        <v>3000</v>
      </c>
    </row>
    <row r="42" customFormat="false" ht="15" hidden="false" customHeight="true" outlineLevel="0" collapsed="false">
      <c r="B42" s="27"/>
      <c r="C42" s="27"/>
      <c r="D42" s="27" t="s">
        <v>229</v>
      </c>
      <c r="E42" s="27" t="s">
        <v>230</v>
      </c>
      <c r="F42" s="14" t="n">
        <f aca="false">SUM(F37:F41)</f>
        <v>45000</v>
      </c>
    </row>
    <row r="43" customFormat="false" ht="30" hidden="false" customHeight="true" outlineLevel="0" collapsed="false">
      <c r="B43" s="25" t="n">
        <v>5</v>
      </c>
      <c r="C43" s="25" t="s">
        <v>99</v>
      </c>
      <c r="D43" s="26" t="s">
        <v>100</v>
      </c>
      <c r="E43" s="26" t="s">
        <v>163</v>
      </c>
      <c r="F43" s="25"/>
    </row>
    <row r="44" customFormat="false" ht="30" hidden="false" customHeight="true" outlineLevel="0" collapsed="false">
      <c r="B44" s="7" t="n">
        <v>1</v>
      </c>
      <c r="C44" s="7" t="s">
        <v>231</v>
      </c>
      <c r="D44" s="20" t="s">
        <v>232</v>
      </c>
      <c r="E44" s="20" t="s">
        <v>233</v>
      </c>
      <c r="F44" s="9" t="n">
        <v>20000</v>
      </c>
    </row>
    <row r="45" customFormat="false" ht="15" hidden="false" customHeight="true" outlineLevel="0" collapsed="false">
      <c r="B45" s="7" t="n">
        <v>2</v>
      </c>
      <c r="C45" s="7" t="s">
        <v>234</v>
      </c>
      <c r="D45" s="20" t="s">
        <v>235</v>
      </c>
      <c r="E45" s="20" t="s">
        <v>236</v>
      </c>
      <c r="F45" s="9" t="n">
        <v>3000</v>
      </c>
    </row>
    <row r="46" customFormat="false" ht="15" hidden="false" customHeight="true" outlineLevel="0" collapsed="false">
      <c r="B46" s="7" t="n">
        <v>3</v>
      </c>
      <c r="C46" s="7" t="s">
        <v>237</v>
      </c>
      <c r="D46" s="20" t="s">
        <v>238</v>
      </c>
      <c r="E46" s="20" t="s">
        <v>195</v>
      </c>
      <c r="F46" s="9" t="n">
        <v>28000</v>
      </c>
    </row>
    <row r="47" customFormat="false" ht="15" hidden="false" customHeight="true" outlineLevel="0" collapsed="false">
      <c r="B47" s="7" t="n">
        <v>4</v>
      </c>
      <c r="C47" s="7" t="s">
        <v>239</v>
      </c>
      <c r="D47" s="20" t="s">
        <v>240</v>
      </c>
      <c r="E47" s="20" t="s">
        <v>241</v>
      </c>
      <c r="F47" s="9" t="n">
        <v>14000</v>
      </c>
    </row>
    <row r="48" customFormat="false" ht="15" hidden="false" customHeight="true" outlineLevel="0" collapsed="false">
      <c r="B48" s="7" t="n">
        <v>5</v>
      </c>
      <c r="C48" s="7" t="s">
        <v>242</v>
      </c>
      <c r="D48" s="20" t="s">
        <v>200</v>
      </c>
      <c r="E48" s="20" t="s">
        <v>243</v>
      </c>
      <c r="F48" s="9" t="n">
        <v>10000</v>
      </c>
    </row>
    <row r="49" customFormat="false" ht="15" hidden="false" customHeight="true" outlineLevel="0" collapsed="false">
      <c r="B49" s="27"/>
      <c r="C49" s="27"/>
      <c r="D49" s="27" t="s">
        <v>244</v>
      </c>
      <c r="E49" s="27" t="s">
        <v>245</v>
      </c>
      <c r="F49" s="14" t="n">
        <f aca="false">SUM(F44:F48)</f>
        <v>75000</v>
      </c>
    </row>
    <row r="50" customFormat="false" ht="42" hidden="false" customHeight="true" outlineLevel="0" collapsed="false">
      <c r="B50" s="25" t="n">
        <v>6</v>
      </c>
      <c r="C50" s="25" t="s">
        <v>101</v>
      </c>
      <c r="D50" s="26" t="s">
        <v>102</v>
      </c>
      <c r="E50" s="26" t="s">
        <v>246</v>
      </c>
      <c r="F50" s="25"/>
    </row>
    <row r="51" customFormat="false" ht="30" hidden="false" customHeight="true" outlineLevel="0" collapsed="false">
      <c r="B51" s="7" t="n">
        <v>1</v>
      </c>
      <c r="C51" s="7" t="s">
        <v>247</v>
      </c>
      <c r="D51" s="20" t="s">
        <v>165</v>
      </c>
      <c r="E51" s="20" t="s">
        <v>166</v>
      </c>
      <c r="F51" s="9" t="n">
        <v>150000</v>
      </c>
    </row>
    <row r="52" customFormat="false" ht="30" hidden="false" customHeight="true" outlineLevel="0" collapsed="false">
      <c r="B52" s="7" t="n">
        <v>2</v>
      </c>
      <c r="C52" s="7" t="s">
        <v>248</v>
      </c>
      <c r="D52" s="20" t="s">
        <v>168</v>
      </c>
      <c r="E52" s="20" t="s">
        <v>169</v>
      </c>
      <c r="F52" s="9" t="n">
        <v>35000</v>
      </c>
    </row>
    <row r="53" customFormat="false" ht="15" hidden="false" customHeight="true" outlineLevel="0" collapsed="false">
      <c r="B53" s="7" t="n">
        <v>3</v>
      </c>
      <c r="C53" s="7" t="s">
        <v>249</v>
      </c>
      <c r="D53" s="20" t="s">
        <v>171</v>
      </c>
      <c r="E53" s="20" t="s">
        <v>172</v>
      </c>
      <c r="F53" s="9" t="n">
        <v>20000</v>
      </c>
    </row>
    <row r="54" customFormat="false" ht="30" hidden="false" customHeight="true" outlineLevel="0" collapsed="false">
      <c r="B54" s="7" t="n">
        <v>4</v>
      </c>
      <c r="C54" s="7" t="s">
        <v>250</v>
      </c>
      <c r="D54" s="20" t="s">
        <v>174</v>
      </c>
      <c r="E54" s="20" t="s">
        <v>175</v>
      </c>
      <c r="F54" s="9" t="n">
        <v>85000</v>
      </c>
    </row>
    <row r="55" customFormat="false" ht="30" hidden="false" customHeight="true" outlineLevel="0" collapsed="false">
      <c r="B55" s="7" t="n">
        <v>5</v>
      </c>
      <c r="C55" s="7" t="s">
        <v>251</v>
      </c>
      <c r="D55" s="20" t="s">
        <v>177</v>
      </c>
      <c r="E55" s="20" t="s">
        <v>178</v>
      </c>
      <c r="F55" s="9" t="n">
        <v>30000</v>
      </c>
    </row>
    <row r="56" customFormat="false" ht="15" hidden="false" customHeight="true" outlineLevel="0" collapsed="false">
      <c r="B56" s="7" t="n">
        <v>6</v>
      </c>
      <c r="C56" s="7" t="s">
        <v>252</v>
      </c>
      <c r="D56" s="20" t="s">
        <v>180</v>
      </c>
      <c r="E56" s="20" t="s">
        <v>181</v>
      </c>
      <c r="F56" s="9" t="n">
        <v>20000</v>
      </c>
    </row>
    <row r="57" customFormat="false" ht="15" hidden="false" customHeight="true" outlineLevel="0" collapsed="false">
      <c r="B57" s="7" t="n">
        <v>7</v>
      </c>
      <c r="C57" s="7" t="s">
        <v>253</v>
      </c>
      <c r="D57" s="20" t="s">
        <v>183</v>
      </c>
      <c r="E57" s="20" t="s">
        <v>184</v>
      </c>
      <c r="F57" s="9" t="n">
        <v>12000</v>
      </c>
    </row>
    <row r="58" customFormat="false" ht="15" hidden="false" customHeight="true" outlineLevel="0" collapsed="false">
      <c r="B58" s="27"/>
      <c r="C58" s="27"/>
      <c r="D58" s="27" t="s">
        <v>254</v>
      </c>
      <c r="E58" s="27" t="s">
        <v>255</v>
      </c>
      <c r="F58" s="14" t="n">
        <f aca="false">SUM(F51:F57)</f>
        <v>352000</v>
      </c>
    </row>
    <row r="59" customFormat="false" ht="42" hidden="false" customHeight="true" outlineLevel="0" collapsed="false">
      <c r="B59" s="25" t="n">
        <v>7</v>
      </c>
      <c r="C59" s="25" t="s">
        <v>103</v>
      </c>
      <c r="D59" s="26" t="s">
        <v>104</v>
      </c>
      <c r="E59" s="26" t="s">
        <v>246</v>
      </c>
      <c r="F59" s="25"/>
    </row>
    <row r="60" customFormat="false" ht="30" hidden="false" customHeight="true" outlineLevel="0" collapsed="false">
      <c r="B60" s="7" t="n">
        <v>1</v>
      </c>
      <c r="C60" s="7" t="s">
        <v>256</v>
      </c>
      <c r="D60" s="20" t="s">
        <v>165</v>
      </c>
      <c r="E60" s="20" t="s">
        <v>166</v>
      </c>
      <c r="F60" s="9" t="n">
        <v>150000</v>
      </c>
    </row>
    <row r="61" customFormat="false" ht="30" hidden="false" customHeight="true" outlineLevel="0" collapsed="false">
      <c r="B61" s="7" t="n">
        <v>2</v>
      </c>
      <c r="C61" s="7" t="s">
        <v>257</v>
      </c>
      <c r="D61" s="20" t="s">
        <v>168</v>
      </c>
      <c r="E61" s="20" t="s">
        <v>169</v>
      </c>
      <c r="F61" s="9" t="n">
        <v>35000</v>
      </c>
    </row>
    <row r="62" customFormat="false" ht="15" hidden="false" customHeight="true" outlineLevel="0" collapsed="false">
      <c r="B62" s="7" t="n">
        <v>3</v>
      </c>
      <c r="C62" s="7" t="s">
        <v>258</v>
      </c>
      <c r="D62" s="20" t="s">
        <v>171</v>
      </c>
      <c r="E62" s="20" t="s">
        <v>172</v>
      </c>
      <c r="F62" s="9" t="n">
        <v>20000</v>
      </c>
    </row>
    <row r="63" customFormat="false" ht="30" hidden="false" customHeight="true" outlineLevel="0" collapsed="false">
      <c r="B63" s="7" t="n">
        <v>4</v>
      </c>
      <c r="C63" s="7" t="s">
        <v>259</v>
      </c>
      <c r="D63" s="20" t="s">
        <v>174</v>
      </c>
      <c r="E63" s="20" t="s">
        <v>175</v>
      </c>
      <c r="F63" s="9" t="n">
        <v>85000</v>
      </c>
    </row>
    <row r="64" customFormat="false" ht="30" hidden="false" customHeight="true" outlineLevel="0" collapsed="false">
      <c r="B64" s="7" t="n">
        <v>5</v>
      </c>
      <c r="C64" s="7" t="s">
        <v>260</v>
      </c>
      <c r="D64" s="20" t="s">
        <v>177</v>
      </c>
      <c r="E64" s="20" t="s">
        <v>178</v>
      </c>
      <c r="F64" s="9" t="n">
        <v>30000</v>
      </c>
    </row>
    <row r="65" customFormat="false" ht="15" hidden="false" customHeight="true" outlineLevel="0" collapsed="false">
      <c r="B65" s="7" t="n">
        <v>6</v>
      </c>
      <c r="C65" s="7" t="s">
        <v>261</v>
      </c>
      <c r="D65" s="20" t="s">
        <v>180</v>
      </c>
      <c r="E65" s="20" t="s">
        <v>181</v>
      </c>
      <c r="F65" s="9" t="n">
        <v>20000</v>
      </c>
    </row>
    <row r="66" customFormat="false" ht="15" hidden="false" customHeight="true" outlineLevel="0" collapsed="false">
      <c r="B66" s="7" t="n">
        <v>7</v>
      </c>
      <c r="C66" s="7" t="s">
        <v>262</v>
      </c>
      <c r="D66" s="20" t="s">
        <v>183</v>
      </c>
      <c r="E66" s="20" t="s">
        <v>184</v>
      </c>
      <c r="F66" s="9" t="n">
        <v>12000</v>
      </c>
    </row>
    <row r="67" customFormat="false" ht="15" hidden="false" customHeight="true" outlineLevel="0" collapsed="false">
      <c r="B67" s="27"/>
      <c r="C67" s="27"/>
      <c r="D67" s="27" t="s">
        <v>263</v>
      </c>
      <c r="E67" s="27" t="s">
        <v>264</v>
      </c>
      <c r="F67" s="14" t="n">
        <f aca="false">SUM(F60:F66)</f>
        <v>352000</v>
      </c>
    </row>
    <row r="68" customFormat="false" ht="42" hidden="false" customHeight="true" outlineLevel="0" collapsed="false">
      <c r="B68" s="25" t="n">
        <v>8</v>
      </c>
      <c r="C68" s="25" t="s">
        <v>105</v>
      </c>
      <c r="D68" s="26" t="s">
        <v>106</v>
      </c>
      <c r="E68" s="26" t="s">
        <v>246</v>
      </c>
      <c r="F68" s="25"/>
    </row>
    <row r="69" customFormat="false" ht="30" hidden="false" customHeight="true" outlineLevel="0" collapsed="false">
      <c r="B69" s="7" t="n">
        <v>1</v>
      </c>
      <c r="C69" s="7" t="s">
        <v>265</v>
      </c>
      <c r="D69" s="20" t="s">
        <v>165</v>
      </c>
      <c r="E69" s="20" t="s">
        <v>166</v>
      </c>
      <c r="F69" s="9" t="n">
        <v>150000</v>
      </c>
    </row>
    <row r="70" customFormat="false" ht="30" hidden="false" customHeight="true" outlineLevel="0" collapsed="false">
      <c r="B70" s="7" t="n">
        <v>2</v>
      </c>
      <c r="C70" s="7" t="s">
        <v>266</v>
      </c>
      <c r="D70" s="20" t="s">
        <v>168</v>
      </c>
      <c r="E70" s="20" t="s">
        <v>169</v>
      </c>
      <c r="F70" s="9" t="n">
        <v>35000</v>
      </c>
    </row>
    <row r="71" customFormat="false" ht="15" hidden="false" customHeight="true" outlineLevel="0" collapsed="false">
      <c r="B71" s="7" t="n">
        <v>3</v>
      </c>
      <c r="C71" s="7" t="s">
        <v>267</v>
      </c>
      <c r="D71" s="20" t="s">
        <v>171</v>
      </c>
      <c r="E71" s="20" t="s">
        <v>172</v>
      </c>
      <c r="F71" s="9" t="n">
        <v>20000</v>
      </c>
    </row>
    <row r="72" customFormat="false" ht="30" hidden="false" customHeight="true" outlineLevel="0" collapsed="false">
      <c r="B72" s="7" t="n">
        <v>4</v>
      </c>
      <c r="C72" s="7" t="s">
        <v>268</v>
      </c>
      <c r="D72" s="20" t="s">
        <v>174</v>
      </c>
      <c r="E72" s="20" t="s">
        <v>175</v>
      </c>
      <c r="F72" s="9" t="n">
        <v>85000</v>
      </c>
    </row>
    <row r="73" customFormat="false" ht="30" hidden="false" customHeight="true" outlineLevel="0" collapsed="false">
      <c r="B73" s="7" t="n">
        <v>5</v>
      </c>
      <c r="C73" s="7" t="s">
        <v>269</v>
      </c>
      <c r="D73" s="20" t="s">
        <v>177</v>
      </c>
      <c r="E73" s="20" t="s">
        <v>178</v>
      </c>
      <c r="F73" s="9" t="n">
        <v>30000</v>
      </c>
    </row>
    <row r="74" customFormat="false" ht="15" hidden="false" customHeight="true" outlineLevel="0" collapsed="false">
      <c r="B74" s="7" t="n">
        <v>6</v>
      </c>
      <c r="C74" s="7" t="s">
        <v>270</v>
      </c>
      <c r="D74" s="20" t="s">
        <v>180</v>
      </c>
      <c r="E74" s="20" t="s">
        <v>181</v>
      </c>
      <c r="F74" s="9" t="n">
        <v>20000</v>
      </c>
    </row>
    <row r="75" customFormat="false" ht="15" hidden="false" customHeight="true" outlineLevel="0" collapsed="false">
      <c r="B75" s="7" t="n">
        <v>7</v>
      </c>
      <c r="C75" s="7" t="s">
        <v>271</v>
      </c>
      <c r="D75" s="20" t="s">
        <v>183</v>
      </c>
      <c r="E75" s="20" t="s">
        <v>184</v>
      </c>
      <c r="F75" s="9" t="n">
        <v>12000</v>
      </c>
    </row>
    <row r="76" customFormat="false" ht="15" hidden="false" customHeight="true" outlineLevel="0" collapsed="false">
      <c r="B76" s="27"/>
      <c r="C76" s="27"/>
      <c r="D76" s="27" t="s">
        <v>272</v>
      </c>
      <c r="E76" s="27" t="s">
        <v>273</v>
      </c>
      <c r="F76" s="14" t="n">
        <f aca="false">SUM(F69:F75)</f>
        <v>352000</v>
      </c>
    </row>
    <row r="77" customFormat="false" ht="42" hidden="false" customHeight="true" outlineLevel="0" collapsed="false">
      <c r="B77" s="25" t="n">
        <v>9</v>
      </c>
      <c r="C77" s="25" t="s">
        <v>107</v>
      </c>
      <c r="D77" s="26" t="s">
        <v>108</v>
      </c>
      <c r="E77" s="26" t="s">
        <v>246</v>
      </c>
      <c r="F77" s="25"/>
    </row>
    <row r="78" customFormat="false" ht="30" hidden="false" customHeight="true" outlineLevel="0" collapsed="false">
      <c r="B78" s="7" t="n">
        <v>1</v>
      </c>
      <c r="C78" s="7" t="s">
        <v>274</v>
      </c>
      <c r="D78" s="20" t="s">
        <v>165</v>
      </c>
      <c r="E78" s="20" t="s">
        <v>166</v>
      </c>
      <c r="F78" s="9" t="n">
        <v>150000</v>
      </c>
    </row>
    <row r="79" customFormat="false" ht="30" hidden="false" customHeight="true" outlineLevel="0" collapsed="false">
      <c r="B79" s="7" t="n">
        <v>2</v>
      </c>
      <c r="C79" s="7" t="s">
        <v>275</v>
      </c>
      <c r="D79" s="20" t="s">
        <v>168</v>
      </c>
      <c r="E79" s="20" t="s">
        <v>169</v>
      </c>
      <c r="F79" s="9" t="n">
        <v>35000</v>
      </c>
    </row>
    <row r="80" customFormat="false" ht="15" hidden="false" customHeight="true" outlineLevel="0" collapsed="false">
      <c r="B80" s="7" t="n">
        <v>3</v>
      </c>
      <c r="C80" s="7" t="s">
        <v>276</v>
      </c>
      <c r="D80" s="20" t="s">
        <v>171</v>
      </c>
      <c r="E80" s="20" t="s">
        <v>172</v>
      </c>
      <c r="F80" s="9" t="n">
        <v>20000</v>
      </c>
    </row>
    <row r="81" customFormat="false" ht="30" hidden="false" customHeight="true" outlineLevel="0" collapsed="false">
      <c r="B81" s="7" t="n">
        <v>4</v>
      </c>
      <c r="C81" s="7" t="s">
        <v>277</v>
      </c>
      <c r="D81" s="20" t="s">
        <v>174</v>
      </c>
      <c r="E81" s="20" t="s">
        <v>175</v>
      </c>
      <c r="F81" s="9" t="n">
        <v>85000</v>
      </c>
    </row>
    <row r="82" customFormat="false" ht="30" hidden="false" customHeight="true" outlineLevel="0" collapsed="false">
      <c r="B82" s="7" t="n">
        <v>5</v>
      </c>
      <c r="C82" s="7" t="s">
        <v>278</v>
      </c>
      <c r="D82" s="20" t="s">
        <v>177</v>
      </c>
      <c r="E82" s="20" t="s">
        <v>178</v>
      </c>
      <c r="F82" s="9" t="n">
        <v>30000</v>
      </c>
    </row>
    <row r="83" customFormat="false" ht="15" hidden="false" customHeight="true" outlineLevel="0" collapsed="false">
      <c r="B83" s="7" t="n">
        <v>6</v>
      </c>
      <c r="C83" s="7" t="s">
        <v>279</v>
      </c>
      <c r="D83" s="20" t="s">
        <v>180</v>
      </c>
      <c r="E83" s="20" t="s">
        <v>181</v>
      </c>
      <c r="F83" s="9" t="n">
        <v>20000</v>
      </c>
    </row>
    <row r="84" customFormat="false" ht="15" hidden="false" customHeight="true" outlineLevel="0" collapsed="false">
      <c r="B84" s="7" t="n">
        <v>7</v>
      </c>
      <c r="C84" s="7" t="s">
        <v>280</v>
      </c>
      <c r="D84" s="20" t="s">
        <v>183</v>
      </c>
      <c r="E84" s="20" t="s">
        <v>184</v>
      </c>
      <c r="F84" s="9" t="n">
        <v>12000</v>
      </c>
    </row>
    <row r="85" customFormat="false" ht="15" hidden="false" customHeight="true" outlineLevel="0" collapsed="false">
      <c r="B85" s="27"/>
      <c r="C85" s="27"/>
      <c r="D85" s="27" t="s">
        <v>281</v>
      </c>
      <c r="E85" s="27" t="s">
        <v>282</v>
      </c>
      <c r="F85" s="14" t="n">
        <f aca="false">SUM(F78:F84)</f>
        <v>352000</v>
      </c>
    </row>
    <row r="87" customFormat="false" ht="21.75" hidden="false" customHeight="true" outlineLevel="0" collapsed="false">
      <c r="B87" s="24" t="s">
        <v>283</v>
      </c>
      <c r="C87" s="24"/>
      <c r="D87" s="24"/>
      <c r="E87" s="24"/>
      <c r="F87" s="24"/>
    </row>
    <row r="88" customFormat="false" ht="30" hidden="false" customHeight="true" outlineLevel="0" collapsed="false">
      <c r="B88" s="25" t="n">
        <v>10</v>
      </c>
      <c r="C88" s="25" t="s">
        <v>109</v>
      </c>
      <c r="D88" s="26" t="s">
        <v>111</v>
      </c>
      <c r="E88" s="26" t="s">
        <v>284</v>
      </c>
      <c r="F88" s="25"/>
    </row>
    <row r="89" customFormat="false" ht="30" hidden="false" customHeight="true" outlineLevel="0" collapsed="false">
      <c r="B89" s="7" t="n">
        <v>1</v>
      </c>
      <c r="C89" s="7" t="s">
        <v>285</v>
      </c>
      <c r="D89" s="20" t="s">
        <v>286</v>
      </c>
      <c r="E89" s="20" t="s">
        <v>287</v>
      </c>
      <c r="F89" s="9" t="n">
        <v>338000</v>
      </c>
    </row>
    <row r="90" customFormat="false" ht="15" hidden="false" customHeight="true" outlineLevel="0" collapsed="false">
      <c r="B90" s="7" t="n">
        <v>2</v>
      </c>
      <c r="C90" s="7" t="s">
        <v>288</v>
      </c>
      <c r="D90" s="20" t="s">
        <v>289</v>
      </c>
      <c r="E90" s="20" t="s">
        <v>290</v>
      </c>
      <c r="F90" s="9" t="n">
        <v>115000</v>
      </c>
    </row>
    <row r="91" customFormat="false" ht="15" hidden="false" customHeight="true" outlineLevel="0" collapsed="false">
      <c r="B91" s="7" t="n">
        <v>3</v>
      </c>
      <c r="C91" s="7" t="s">
        <v>291</v>
      </c>
      <c r="D91" s="20" t="s">
        <v>292</v>
      </c>
      <c r="E91" s="20" t="s">
        <v>293</v>
      </c>
      <c r="F91" s="9" t="n">
        <v>270000</v>
      </c>
    </row>
    <row r="92" customFormat="false" ht="15" hidden="false" customHeight="true" outlineLevel="0" collapsed="false">
      <c r="B92" s="7" t="n">
        <v>4</v>
      </c>
      <c r="C92" s="7" t="s">
        <v>294</v>
      </c>
      <c r="D92" s="20" t="s">
        <v>295</v>
      </c>
      <c r="E92" s="20" t="s">
        <v>296</v>
      </c>
      <c r="F92" s="9" t="n">
        <v>10000</v>
      </c>
    </row>
    <row r="93" customFormat="false" ht="15" hidden="false" customHeight="true" outlineLevel="0" collapsed="false">
      <c r="B93" s="7" t="n">
        <v>5</v>
      </c>
      <c r="C93" s="7" t="s">
        <v>297</v>
      </c>
      <c r="D93" s="20" t="s">
        <v>298</v>
      </c>
      <c r="E93" s="20" t="s">
        <v>299</v>
      </c>
      <c r="F93" s="9" t="n">
        <v>217000</v>
      </c>
    </row>
    <row r="94" customFormat="false" ht="15" hidden="false" customHeight="true" outlineLevel="0" collapsed="false">
      <c r="B94" s="7" t="n">
        <v>6</v>
      </c>
      <c r="C94" s="7" t="s">
        <v>300</v>
      </c>
      <c r="D94" s="20" t="s">
        <v>200</v>
      </c>
      <c r="E94" s="20" t="s">
        <v>301</v>
      </c>
      <c r="F94" s="9" t="n">
        <v>50000</v>
      </c>
    </row>
    <row r="95" customFormat="false" ht="15" hidden="false" customHeight="true" outlineLevel="0" collapsed="false">
      <c r="B95" s="27"/>
      <c r="C95" s="27"/>
      <c r="D95" s="27" t="s">
        <v>302</v>
      </c>
      <c r="E95" s="27" t="s">
        <v>303</v>
      </c>
      <c r="F95" s="14" t="n">
        <f aca="false">SUM(F89:F94)</f>
        <v>1000000</v>
      </c>
    </row>
    <row r="96" customFormat="false" ht="30" hidden="false" customHeight="true" outlineLevel="0" collapsed="false">
      <c r="B96" s="25" t="n">
        <v>11</v>
      </c>
      <c r="C96" s="25" t="s">
        <v>113</v>
      </c>
      <c r="D96" s="26" t="s">
        <v>114</v>
      </c>
      <c r="E96" s="26" t="s">
        <v>284</v>
      </c>
      <c r="F96" s="25"/>
    </row>
    <row r="97" customFormat="false" ht="15" hidden="false" customHeight="true" outlineLevel="0" collapsed="false">
      <c r="B97" s="7" t="n">
        <v>1</v>
      </c>
      <c r="C97" s="7" t="s">
        <v>304</v>
      </c>
      <c r="D97" s="20" t="s">
        <v>305</v>
      </c>
      <c r="E97" s="20" t="s">
        <v>306</v>
      </c>
      <c r="F97" s="9" t="n">
        <v>40000</v>
      </c>
    </row>
    <row r="98" customFormat="false" ht="15" hidden="false" customHeight="true" outlineLevel="0" collapsed="false">
      <c r="B98" s="7" t="n">
        <v>2</v>
      </c>
      <c r="C98" s="7" t="s">
        <v>307</v>
      </c>
      <c r="D98" s="20" t="s">
        <v>308</v>
      </c>
      <c r="E98" s="20" t="s">
        <v>309</v>
      </c>
      <c r="F98" s="9" t="n">
        <v>5000</v>
      </c>
    </row>
    <row r="99" customFormat="false" ht="15" hidden="false" customHeight="true" outlineLevel="0" collapsed="false">
      <c r="B99" s="7" t="n">
        <v>3</v>
      </c>
      <c r="C99" s="7" t="s">
        <v>310</v>
      </c>
      <c r="D99" s="20" t="s">
        <v>200</v>
      </c>
      <c r="E99" s="20" t="s">
        <v>311</v>
      </c>
      <c r="F99" s="9" t="n">
        <v>2500</v>
      </c>
    </row>
    <row r="100" customFormat="false" ht="15" hidden="false" customHeight="true" outlineLevel="0" collapsed="false">
      <c r="B100" s="27"/>
      <c r="C100" s="27"/>
      <c r="D100" s="27" t="s">
        <v>312</v>
      </c>
      <c r="E100" s="27" t="s">
        <v>313</v>
      </c>
      <c r="F100" s="14" t="n">
        <f aca="false">SUM(F97:F99)</f>
        <v>47500</v>
      </c>
    </row>
    <row r="101" customFormat="false" ht="15" hidden="false" customHeight="true" outlineLevel="0" collapsed="false">
      <c r="B101" s="25" t="n">
        <v>12</v>
      </c>
      <c r="C101" s="25" t="s">
        <v>115</v>
      </c>
      <c r="D101" s="26" t="s">
        <v>116</v>
      </c>
      <c r="E101" s="26" t="s">
        <v>284</v>
      </c>
      <c r="F101" s="25"/>
    </row>
    <row r="102" customFormat="false" ht="15" hidden="false" customHeight="true" outlineLevel="0" collapsed="false">
      <c r="B102" s="7" t="n">
        <v>1</v>
      </c>
      <c r="C102" s="7" t="s">
        <v>314</v>
      </c>
      <c r="D102" s="20" t="s">
        <v>315</v>
      </c>
      <c r="E102" s="20" t="s">
        <v>316</v>
      </c>
      <c r="F102" s="9" t="n">
        <v>60000</v>
      </c>
    </row>
    <row r="103" customFormat="false" ht="15" hidden="false" customHeight="true" outlineLevel="0" collapsed="false">
      <c r="B103" s="7" t="n">
        <v>2</v>
      </c>
      <c r="C103" s="7" t="s">
        <v>317</v>
      </c>
      <c r="D103" s="20" t="s">
        <v>318</v>
      </c>
      <c r="E103" s="20" t="s">
        <v>195</v>
      </c>
      <c r="F103" s="9" t="n">
        <v>25000</v>
      </c>
    </row>
    <row r="104" customFormat="false" ht="15" hidden="false" customHeight="true" outlineLevel="0" collapsed="false">
      <c r="B104" s="7" t="n">
        <v>3</v>
      </c>
      <c r="C104" s="7" t="s">
        <v>319</v>
      </c>
      <c r="D104" s="20" t="s">
        <v>200</v>
      </c>
      <c r="E104" s="20" t="s">
        <v>320</v>
      </c>
      <c r="F104" s="9" t="n">
        <v>5000</v>
      </c>
    </row>
    <row r="105" customFormat="false" ht="15" hidden="false" customHeight="true" outlineLevel="0" collapsed="false">
      <c r="B105" s="27"/>
      <c r="C105" s="27"/>
      <c r="D105" s="27" t="s">
        <v>321</v>
      </c>
      <c r="E105" s="27" t="s">
        <v>322</v>
      </c>
      <c r="F105" s="14" t="n">
        <f aca="false">SUM(F102:F104)</f>
        <v>90000</v>
      </c>
    </row>
    <row r="106" customFormat="false" ht="15" hidden="false" customHeight="true" outlineLevel="0" collapsed="false">
      <c r="B106" s="25" t="n">
        <v>13</v>
      </c>
      <c r="C106" s="25" t="s">
        <v>117</v>
      </c>
      <c r="D106" s="26" t="s">
        <v>118</v>
      </c>
      <c r="E106" s="26" t="s">
        <v>284</v>
      </c>
      <c r="F106" s="25"/>
    </row>
    <row r="107" customFormat="false" ht="15" hidden="false" customHeight="true" outlineLevel="0" collapsed="false">
      <c r="B107" s="7" t="n">
        <v>1</v>
      </c>
      <c r="C107" s="7" t="s">
        <v>323</v>
      </c>
      <c r="D107" s="20" t="s">
        <v>324</v>
      </c>
      <c r="E107" s="20" t="s">
        <v>325</v>
      </c>
      <c r="F107" s="9" t="n">
        <v>95000</v>
      </c>
    </row>
    <row r="108" customFormat="false" ht="15" hidden="false" customHeight="true" outlineLevel="0" collapsed="false">
      <c r="B108" s="7" t="n">
        <v>2</v>
      </c>
      <c r="C108" s="7" t="s">
        <v>326</v>
      </c>
      <c r="D108" s="20" t="s">
        <v>327</v>
      </c>
      <c r="E108" s="20" t="s">
        <v>195</v>
      </c>
      <c r="F108" s="9" t="n">
        <v>25000</v>
      </c>
    </row>
    <row r="109" customFormat="false" ht="15" hidden="false" customHeight="true" outlineLevel="0" collapsed="false">
      <c r="B109" s="7" t="n">
        <v>3</v>
      </c>
      <c r="C109" s="7" t="s">
        <v>328</v>
      </c>
      <c r="D109" s="20" t="s">
        <v>200</v>
      </c>
      <c r="E109" s="20" t="s">
        <v>329</v>
      </c>
      <c r="F109" s="9" t="n">
        <v>10000</v>
      </c>
    </row>
    <row r="110" customFormat="false" ht="15" hidden="false" customHeight="true" outlineLevel="0" collapsed="false">
      <c r="B110" s="27"/>
      <c r="C110" s="27"/>
      <c r="D110" s="27" t="s">
        <v>330</v>
      </c>
      <c r="E110" s="27" t="s">
        <v>331</v>
      </c>
      <c r="F110" s="14" t="n">
        <f aca="false">SUM(F107:F109)</f>
        <v>130000</v>
      </c>
    </row>
    <row r="111" customFormat="false" ht="30" hidden="false" customHeight="true" outlineLevel="0" collapsed="false">
      <c r="B111" s="25" t="n">
        <v>14</v>
      </c>
      <c r="C111" s="25" t="s">
        <v>119</v>
      </c>
      <c r="D111" s="26" t="s">
        <v>120</v>
      </c>
      <c r="E111" s="26" t="s">
        <v>284</v>
      </c>
      <c r="F111" s="25"/>
    </row>
    <row r="112" customFormat="false" ht="15" hidden="false" customHeight="true" outlineLevel="0" collapsed="false">
      <c r="B112" s="7" t="n">
        <v>1</v>
      </c>
      <c r="C112" s="7" t="s">
        <v>332</v>
      </c>
      <c r="D112" s="20" t="s">
        <v>333</v>
      </c>
      <c r="E112" s="20" t="s">
        <v>334</v>
      </c>
      <c r="F112" s="9" t="n">
        <v>165000</v>
      </c>
    </row>
    <row r="113" customFormat="false" ht="30" hidden="false" customHeight="true" outlineLevel="0" collapsed="false">
      <c r="B113" s="7" t="n">
        <v>2</v>
      </c>
      <c r="C113" s="7" t="s">
        <v>335</v>
      </c>
      <c r="D113" s="20" t="s">
        <v>286</v>
      </c>
      <c r="E113" s="20" t="s">
        <v>336</v>
      </c>
      <c r="F113" s="9" t="n">
        <v>162500</v>
      </c>
    </row>
    <row r="114" customFormat="false" ht="15" hidden="false" customHeight="true" outlineLevel="0" collapsed="false">
      <c r="B114" s="7" t="n">
        <v>3</v>
      </c>
      <c r="C114" s="7" t="s">
        <v>337</v>
      </c>
      <c r="D114" s="20" t="s">
        <v>338</v>
      </c>
      <c r="E114" s="20" t="s">
        <v>339</v>
      </c>
      <c r="F114" s="9" t="n">
        <v>125000</v>
      </c>
    </row>
    <row r="115" customFormat="false" ht="15" hidden="false" customHeight="true" outlineLevel="0" collapsed="false">
      <c r="B115" s="7" t="n">
        <v>4</v>
      </c>
      <c r="C115" s="7" t="s">
        <v>340</v>
      </c>
      <c r="D115" s="20" t="s">
        <v>341</v>
      </c>
      <c r="E115" s="20" t="s">
        <v>299</v>
      </c>
      <c r="F115" s="9" t="n">
        <v>190000</v>
      </c>
    </row>
    <row r="116" customFormat="false" ht="15" hidden="false" customHeight="true" outlineLevel="0" collapsed="false">
      <c r="B116" s="7" t="n">
        <v>5</v>
      </c>
      <c r="C116" s="7" t="s">
        <v>342</v>
      </c>
      <c r="D116" s="20" t="s">
        <v>200</v>
      </c>
      <c r="E116" s="20" t="s">
        <v>343</v>
      </c>
      <c r="F116" s="9" t="n">
        <v>57500</v>
      </c>
    </row>
    <row r="117" customFormat="false" ht="15" hidden="false" customHeight="true" outlineLevel="0" collapsed="false">
      <c r="B117" s="27"/>
      <c r="C117" s="27"/>
      <c r="D117" s="27" t="s">
        <v>344</v>
      </c>
      <c r="E117" s="27" t="s">
        <v>345</v>
      </c>
      <c r="F117" s="14" t="n">
        <f aca="false">SUM(F112:F116)</f>
        <v>700000</v>
      </c>
    </row>
    <row r="118" customFormat="false" ht="30" hidden="false" customHeight="true" outlineLevel="0" collapsed="false">
      <c r="B118" s="25" t="n">
        <v>15</v>
      </c>
      <c r="C118" s="25" t="s">
        <v>121</v>
      </c>
      <c r="D118" s="26" t="s">
        <v>122</v>
      </c>
      <c r="E118" s="26" t="s">
        <v>284</v>
      </c>
      <c r="F118" s="25"/>
    </row>
    <row r="119" customFormat="false" ht="30" hidden="false" customHeight="true" outlineLevel="0" collapsed="false">
      <c r="B119" s="7" t="n">
        <v>1</v>
      </c>
      <c r="C119" s="7" t="s">
        <v>346</v>
      </c>
      <c r="D119" s="20" t="s">
        <v>286</v>
      </c>
      <c r="E119" s="20" t="s">
        <v>287</v>
      </c>
      <c r="F119" s="9" t="n">
        <v>338000</v>
      </c>
    </row>
    <row r="120" customFormat="false" ht="15" hidden="false" customHeight="true" outlineLevel="0" collapsed="false">
      <c r="B120" s="7" t="n">
        <v>2</v>
      </c>
      <c r="C120" s="7" t="s">
        <v>347</v>
      </c>
      <c r="D120" s="20" t="s">
        <v>289</v>
      </c>
      <c r="E120" s="20" t="s">
        <v>290</v>
      </c>
      <c r="F120" s="9" t="n">
        <v>115000</v>
      </c>
    </row>
    <row r="121" customFormat="false" ht="15" hidden="false" customHeight="true" outlineLevel="0" collapsed="false">
      <c r="B121" s="7" t="n">
        <v>3</v>
      </c>
      <c r="C121" s="7" t="s">
        <v>348</v>
      </c>
      <c r="D121" s="20" t="s">
        <v>292</v>
      </c>
      <c r="E121" s="20" t="s">
        <v>293</v>
      </c>
      <c r="F121" s="9" t="n">
        <v>270000</v>
      </c>
    </row>
    <row r="122" customFormat="false" ht="15" hidden="false" customHeight="true" outlineLevel="0" collapsed="false">
      <c r="B122" s="7" t="n">
        <v>4</v>
      </c>
      <c r="C122" s="7" t="s">
        <v>349</v>
      </c>
      <c r="D122" s="20" t="s">
        <v>350</v>
      </c>
      <c r="E122" s="20" t="s">
        <v>351</v>
      </c>
      <c r="F122" s="9" t="n">
        <v>90000</v>
      </c>
    </row>
    <row r="123" customFormat="false" ht="15" hidden="false" customHeight="true" outlineLevel="0" collapsed="false">
      <c r="B123" s="7" t="n">
        <v>5</v>
      </c>
      <c r="C123" s="7" t="s">
        <v>352</v>
      </c>
      <c r="D123" s="20" t="s">
        <v>353</v>
      </c>
      <c r="E123" s="20" t="s">
        <v>299</v>
      </c>
      <c r="F123" s="9" t="n">
        <v>150000</v>
      </c>
    </row>
    <row r="124" customFormat="false" ht="15" hidden="false" customHeight="true" outlineLevel="0" collapsed="false">
      <c r="B124" s="7" t="n">
        <v>6</v>
      </c>
      <c r="C124" s="7" t="s">
        <v>354</v>
      </c>
      <c r="D124" s="20" t="s">
        <v>200</v>
      </c>
      <c r="E124" s="20" t="s">
        <v>355</v>
      </c>
      <c r="F124" s="9" t="n">
        <v>37000</v>
      </c>
    </row>
    <row r="125" customFormat="false" ht="15" hidden="false" customHeight="true" outlineLevel="0" collapsed="false">
      <c r="B125" s="27"/>
      <c r="C125" s="27"/>
      <c r="D125" s="27" t="s">
        <v>356</v>
      </c>
      <c r="E125" s="27" t="s">
        <v>357</v>
      </c>
      <c r="F125" s="14" t="n">
        <f aca="false">SUM(F119:F124)</f>
        <v>1000000</v>
      </c>
    </row>
    <row r="126" customFormat="false" ht="30" hidden="false" customHeight="true" outlineLevel="0" collapsed="false">
      <c r="B126" s="25" t="n">
        <v>16</v>
      </c>
      <c r="C126" s="25" t="s">
        <v>123</v>
      </c>
      <c r="D126" s="26" t="s">
        <v>124</v>
      </c>
      <c r="E126" s="26" t="s">
        <v>284</v>
      </c>
      <c r="F126" s="25"/>
    </row>
    <row r="127" customFormat="false" ht="15" hidden="false" customHeight="true" outlineLevel="0" collapsed="false">
      <c r="B127" s="7" t="n">
        <v>1</v>
      </c>
      <c r="C127" s="7" t="s">
        <v>358</v>
      </c>
      <c r="D127" s="20" t="s">
        <v>286</v>
      </c>
      <c r="E127" s="20" t="s">
        <v>359</v>
      </c>
      <c r="F127" s="9" t="n">
        <v>390000</v>
      </c>
    </row>
    <row r="128" customFormat="false" ht="15" hidden="false" customHeight="true" outlineLevel="0" collapsed="false">
      <c r="B128" s="7" t="n">
        <v>2</v>
      </c>
      <c r="C128" s="7" t="s">
        <v>360</v>
      </c>
      <c r="D128" s="20" t="s">
        <v>289</v>
      </c>
      <c r="E128" s="20" t="s">
        <v>361</v>
      </c>
      <c r="F128" s="9" t="n">
        <v>120000</v>
      </c>
    </row>
    <row r="129" customFormat="false" ht="15" hidden="false" customHeight="true" outlineLevel="0" collapsed="false">
      <c r="B129" s="7" t="n">
        <v>3</v>
      </c>
      <c r="C129" s="7" t="s">
        <v>362</v>
      </c>
      <c r="D129" s="20" t="s">
        <v>292</v>
      </c>
      <c r="E129" s="20" t="s">
        <v>363</v>
      </c>
      <c r="F129" s="9" t="n">
        <v>280000</v>
      </c>
    </row>
    <row r="130" customFormat="false" ht="15" hidden="false" customHeight="true" outlineLevel="0" collapsed="false">
      <c r="B130" s="7" t="n">
        <v>4</v>
      </c>
      <c r="C130" s="7" t="s">
        <v>364</v>
      </c>
      <c r="D130" s="20" t="s">
        <v>365</v>
      </c>
      <c r="E130" s="20" t="s">
        <v>366</v>
      </c>
      <c r="F130" s="9" t="n">
        <v>130000</v>
      </c>
    </row>
    <row r="131" customFormat="false" ht="15" hidden="false" customHeight="true" outlineLevel="0" collapsed="false">
      <c r="B131" s="7" t="n">
        <v>5</v>
      </c>
      <c r="C131" s="7" t="s">
        <v>367</v>
      </c>
      <c r="D131" s="20" t="s">
        <v>368</v>
      </c>
      <c r="E131" s="20" t="s">
        <v>369</v>
      </c>
      <c r="F131" s="9" t="n">
        <v>100000</v>
      </c>
    </row>
    <row r="132" customFormat="false" ht="15" hidden="false" customHeight="true" outlineLevel="0" collapsed="false">
      <c r="B132" s="7" t="n">
        <v>6</v>
      </c>
      <c r="C132" s="7" t="s">
        <v>370</v>
      </c>
      <c r="D132" s="20" t="s">
        <v>371</v>
      </c>
      <c r="E132" s="20" t="s">
        <v>299</v>
      </c>
      <c r="F132" s="9" t="n">
        <v>150000</v>
      </c>
    </row>
    <row r="133" customFormat="false" ht="15" hidden="false" customHeight="true" outlineLevel="0" collapsed="false">
      <c r="B133" s="7" t="n">
        <v>7</v>
      </c>
      <c r="C133" s="7" t="s">
        <v>372</v>
      </c>
      <c r="D133" s="20" t="s">
        <v>200</v>
      </c>
      <c r="E133" s="20" t="s">
        <v>373</v>
      </c>
      <c r="F133" s="9" t="n">
        <v>30000</v>
      </c>
    </row>
    <row r="134" customFormat="false" ht="15" hidden="false" customHeight="true" outlineLevel="0" collapsed="false">
      <c r="B134" s="27"/>
      <c r="C134" s="27"/>
      <c r="D134" s="27" t="s">
        <v>374</v>
      </c>
      <c r="E134" s="27" t="s">
        <v>375</v>
      </c>
      <c r="F134" s="14" t="n">
        <f aca="false">SUM(F127:F133)</f>
        <v>1200000</v>
      </c>
    </row>
    <row r="136" customFormat="false" ht="21.75" hidden="false" customHeight="true" outlineLevel="0" collapsed="false">
      <c r="B136" s="24" t="s">
        <v>376</v>
      </c>
      <c r="C136" s="24"/>
      <c r="D136" s="24"/>
      <c r="E136" s="24"/>
      <c r="F136" s="24"/>
    </row>
    <row r="137" customFormat="false" ht="42" hidden="false" customHeight="true" outlineLevel="0" collapsed="false">
      <c r="B137" s="25" t="n">
        <v>17</v>
      </c>
      <c r="C137" s="25" t="s">
        <v>125</v>
      </c>
      <c r="D137" s="26" t="s">
        <v>127</v>
      </c>
      <c r="E137" s="26" t="s">
        <v>377</v>
      </c>
      <c r="F137" s="25"/>
    </row>
    <row r="138" customFormat="false" ht="30" hidden="false" customHeight="true" outlineLevel="0" collapsed="false">
      <c r="B138" s="7" t="n">
        <v>1</v>
      </c>
      <c r="C138" s="7" t="s">
        <v>378</v>
      </c>
      <c r="D138" s="20" t="s">
        <v>379</v>
      </c>
      <c r="E138" s="20" t="s">
        <v>380</v>
      </c>
      <c r="F138" s="9" t="n">
        <v>10000000</v>
      </c>
    </row>
    <row r="139" customFormat="false" ht="15" hidden="false" customHeight="true" outlineLevel="0" collapsed="false">
      <c r="B139" s="7" t="n">
        <v>2</v>
      </c>
      <c r="C139" s="7" t="s">
        <v>381</v>
      </c>
      <c r="D139" s="20" t="s">
        <v>382</v>
      </c>
      <c r="E139" s="20" t="s">
        <v>383</v>
      </c>
      <c r="F139" s="9" t="n">
        <v>400000</v>
      </c>
    </row>
    <row r="140" customFormat="false" ht="15" hidden="false" customHeight="true" outlineLevel="0" collapsed="false">
      <c r="B140" s="7" t="n">
        <v>3</v>
      </c>
      <c r="C140" s="7" t="s">
        <v>384</v>
      </c>
      <c r="D140" s="20" t="s">
        <v>385</v>
      </c>
      <c r="E140" s="20" t="s">
        <v>386</v>
      </c>
      <c r="F140" s="9" t="n">
        <v>600000</v>
      </c>
    </row>
    <row r="141" customFormat="false" ht="15" hidden="false" customHeight="true" outlineLevel="0" collapsed="false">
      <c r="B141" s="7" t="n">
        <v>4</v>
      </c>
      <c r="C141" s="7" t="s">
        <v>387</v>
      </c>
      <c r="D141" s="20" t="s">
        <v>388</v>
      </c>
      <c r="E141" s="20" t="s">
        <v>389</v>
      </c>
      <c r="F141" s="9" t="n">
        <v>700000</v>
      </c>
    </row>
    <row r="142" customFormat="false" ht="15" hidden="false" customHeight="true" outlineLevel="0" collapsed="false">
      <c r="B142" s="7" t="n">
        <v>5</v>
      </c>
      <c r="C142" s="7" t="s">
        <v>390</v>
      </c>
      <c r="D142" s="20" t="s">
        <v>200</v>
      </c>
      <c r="E142" s="20" t="s">
        <v>391</v>
      </c>
      <c r="F142" s="9" t="n">
        <v>800000</v>
      </c>
    </row>
    <row r="143" customFormat="false" ht="15" hidden="false" customHeight="true" outlineLevel="0" collapsed="false">
      <c r="B143" s="27"/>
      <c r="C143" s="27"/>
      <c r="D143" s="27" t="s">
        <v>392</v>
      </c>
      <c r="E143" s="27" t="s">
        <v>393</v>
      </c>
      <c r="F143" s="14" t="n">
        <f aca="false">SUM(F138:F142)</f>
        <v>12500000</v>
      </c>
    </row>
    <row r="144" customFormat="false" ht="30" hidden="false" customHeight="true" outlineLevel="0" collapsed="false">
      <c r="B144" s="25" t="n">
        <v>18</v>
      </c>
      <c r="C144" s="25" t="s">
        <v>129</v>
      </c>
      <c r="D144" s="26" t="s">
        <v>130</v>
      </c>
      <c r="E144" s="26" t="s">
        <v>394</v>
      </c>
      <c r="F144" s="25"/>
    </row>
    <row r="145" customFormat="false" ht="30" hidden="false" customHeight="true" outlineLevel="0" collapsed="false">
      <c r="B145" s="7" t="n">
        <v>1</v>
      </c>
      <c r="C145" s="7" t="s">
        <v>395</v>
      </c>
      <c r="D145" s="20" t="s">
        <v>396</v>
      </c>
      <c r="E145" s="20" t="s">
        <v>397</v>
      </c>
      <c r="F145" s="9" t="n">
        <v>600000</v>
      </c>
    </row>
    <row r="146" customFormat="false" ht="15" hidden="false" customHeight="true" outlineLevel="0" collapsed="false">
      <c r="B146" s="7" t="n">
        <v>2</v>
      </c>
      <c r="C146" s="7" t="s">
        <v>398</v>
      </c>
      <c r="D146" s="20" t="s">
        <v>399</v>
      </c>
      <c r="E146" s="20" t="s">
        <v>400</v>
      </c>
      <c r="F146" s="9" t="n">
        <v>250000</v>
      </c>
    </row>
    <row r="147" customFormat="false" ht="15" hidden="false" customHeight="true" outlineLevel="0" collapsed="false">
      <c r="B147" s="7" t="n">
        <v>3</v>
      </c>
      <c r="C147" s="7" t="s">
        <v>401</v>
      </c>
      <c r="D147" s="20" t="s">
        <v>402</v>
      </c>
      <c r="E147" s="20" t="s">
        <v>195</v>
      </c>
      <c r="F147" s="9" t="n">
        <v>400000</v>
      </c>
    </row>
    <row r="148" customFormat="false" ht="15" hidden="false" customHeight="true" outlineLevel="0" collapsed="false">
      <c r="B148" s="7" t="n">
        <v>4</v>
      </c>
      <c r="C148" s="7" t="s">
        <v>403</v>
      </c>
      <c r="D148" s="20" t="s">
        <v>404</v>
      </c>
      <c r="E148" s="20" t="s">
        <v>405</v>
      </c>
      <c r="F148" s="9" t="n">
        <v>150000</v>
      </c>
    </row>
    <row r="149" customFormat="false" ht="15" hidden="false" customHeight="true" outlineLevel="0" collapsed="false">
      <c r="B149" s="7" t="n">
        <v>5</v>
      </c>
      <c r="C149" s="7" t="s">
        <v>406</v>
      </c>
      <c r="D149" s="20" t="s">
        <v>200</v>
      </c>
      <c r="E149" s="20" t="s">
        <v>228</v>
      </c>
      <c r="F149" s="9" t="n">
        <v>100000</v>
      </c>
    </row>
    <row r="150" customFormat="false" ht="15" hidden="false" customHeight="true" outlineLevel="0" collapsed="false">
      <c r="B150" s="27"/>
      <c r="C150" s="27"/>
      <c r="D150" s="27" t="s">
        <v>407</v>
      </c>
      <c r="E150" s="27" t="s">
        <v>408</v>
      </c>
      <c r="F150" s="14" t="n">
        <f aca="false">SUM(F145:F149)</f>
        <v>1500000</v>
      </c>
    </row>
    <row r="151" customFormat="false" ht="54" hidden="false" customHeight="true" outlineLevel="0" collapsed="false">
      <c r="B151" s="25" t="n">
        <v>19</v>
      </c>
      <c r="C151" s="25" t="s">
        <v>132</v>
      </c>
      <c r="D151" s="26" t="s">
        <v>133</v>
      </c>
      <c r="E151" s="26" t="s">
        <v>377</v>
      </c>
      <c r="F151" s="25"/>
    </row>
    <row r="152" customFormat="false" ht="30" hidden="false" customHeight="true" outlineLevel="0" collapsed="false">
      <c r="B152" s="7" t="n">
        <v>1</v>
      </c>
      <c r="C152" s="7" t="s">
        <v>409</v>
      </c>
      <c r="D152" s="20" t="s">
        <v>410</v>
      </c>
      <c r="E152" s="20" t="s">
        <v>411</v>
      </c>
      <c r="F152" s="9" t="n">
        <v>6500000</v>
      </c>
    </row>
    <row r="153" customFormat="false" ht="30" hidden="false" customHeight="true" outlineLevel="0" collapsed="false">
      <c r="B153" s="7" t="n">
        <v>2</v>
      </c>
      <c r="C153" s="7" t="s">
        <v>412</v>
      </c>
      <c r="D153" s="20" t="s">
        <v>413</v>
      </c>
      <c r="E153" s="20" t="s">
        <v>414</v>
      </c>
      <c r="F153" s="9" t="n">
        <v>5000000</v>
      </c>
    </row>
    <row r="154" customFormat="false" ht="30" hidden="false" customHeight="true" outlineLevel="0" collapsed="false">
      <c r="B154" s="7" t="n">
        <v>3</v>
      </c>
      <c r="C154" s="7" t="s">
        <v>415</v>
      </c>
      <c r="D154" s="20" t="s">
        <v>416</v>
      </c>
      <c r="E154" s="20" t="s">
        <v>417</v>
      </c>
      <c r="F154" s="9" t="n">
        <v>5000000</v>
      </c>
    </row>
    <row r="155" customFormat="false" ht="30" hidden="false" customHeight="true" outlineLevel="0" collapsed="false">
      <c r="B155" s="7" t="n">
        <v>4</v>
      </c>
      <c r="C155" s="7" t="s">
        <v>418</v>
      </c>
      <c r="D155" s="20" t="s">
        <v>419</v>
      </c>
      <c r="E155" s="20" t="s">
        <v>420</v>
      </c>
      <c r="F155" s="9" t="n">
        <v>2000000</v>
      </c>
    </row>
    <row r="156" customFormat="false" ht="15" hidden="false" customHeight="true" outlineLevel="0" collapsed="false">
      <c r="B156" s="7" t="n">
        <v>5</v>
      </c>
      <c r="C156" s="7" t="s">
        <v>421</v>
      </c>
      <c r="D156" s="20" t="s">
        <v>422</v>
      </c>
      <c r="E156" s="20" t="s">
        <v>423</v>
      </c>
      <c r="F156" s="9" t="n">
        <v>1500000</v>
      </c>
    </row>
    <row r="157" customFormat="false" ht="30" hidden="false" customHeight="true" outlineLevel="0" collapsed="false">
      <c r="B157" s="7" t="n">
        <v>6</v>
      </c>
      <c r="C157" s="7" t="s">
        <v>424</v>
      </c>
      <c r="D157" s="20" t="s">
        <v>425</v>
      </c>
      <c r="E157" s="20" t="s">
        <v>420</v>
      </c>
      <c r="F157" s="9" t="n">
        <v>1000000</v>
      </c>
    </row>
    <row r="158" customFormat="false" ht="15" hidden="false" customHeight="true" outlineLevel="0" collapsed="false">
      <c r="B158" s="7" t="n">
        <v>7</v>
      </c>
      <c r="C158" s="7" t="s">
        <v>426</v>
      </c>
      <c r="D158" s="20" t="s">
        <v>427</v>
      </c>
      <c r="E158" s="20" t="s">
        <v>428</v>
      </c>
      <c r="F158" s="9" t="n">
        <v>1500000</v>
      </c>
    </row>
    <row r="159" customFormat="false" ht="15" hidden="false" customHeight="true" outlineLevel="0" collapsed="false">
      <c r="B159" s="7" t="n">
        <v>8</v>
      </c>
      <c r="C159" s="7" t="s">
        <v>429</v>
      </c>
      <c r="D159" s="20" t="s">
        <v>200</v>
      </c>
      <c r="E159" s="20" t="s">
        <v>430</v>
      </c>
      <c r="F159" s="9" t="n">
        <v>1500000</v>
      </c>
    </row>
    <row r="160" customFormat="false" ht="15" hidden="false" customHeight="true" outlineLevel="0" collapsed="false">
      <c r="B160" s="27"/>
      <c r="C160" s="27"/>
      <c r="D160" s="27" t="s">
        <v>431</v>
      </c>
      <c r="E160" s="27" t="s">
        <v>432</v>
      </c>
      <c r="F160" s="14" t="n">
        <f aca="false">SUM(F152:F159)</f>
        <v>24000000</v>
      </c>
    </row>
    <row r="161" customFormat="false" ht="30" hidden="false" customHeight="true" outlineLevel="0" collapsed="false">
      <c r="B161" s="25" t="n">
        <v>20</v>
      </c>
      <c r="C161" s="25" t="s">
        <v>134</v>
      </c>
      <c r="D161" s="26" t="s">
        <v>135</v>
      </c>
      <c r="E161" s="26" t="s">
        <v>394</v>
      </c>
      <c r="F161" s="25"/>
    </row>
    <row r="162" customFormat="false" ht="30" hidden="false" customHeight="true" outlineLevel="0" collapsed="false">
      <c r="B162" s="7" t="n">
        <v>1</v>
      </c>
      <c r="C162" s="7" t="s">
        <v>433</v>
      </c>
      <c r="D162" s="20" t="s">
        <v>434</v>
      </c>
      <c r="E162" s="20" t="s">
        <v>435</v>
      </c>
      <c r="F162" s="9" t="n">
        <v>700000</v>
      </c>
    </row>
    <row r="163" customFormat="false" ht="30" hidden="false" customHeight="true" outlineLevel="0" collapsed="false">
      <c r="B163" s="7" t="n">
        <v>2</v>
      </c>
      <c r="C163" s="7" t="s">
        <v>436</v>
      </c>
      <c r="D163" s="20" t="s">
        <v>437</v>
      </c>
      <c r="E163" s="20" t="s">
        <v>438</v>
      </c>
      <c r="F163" s="9" t="n">
        <v>300000</v>
      </c>
    </row>
    <row r="164" customFormat="false" ht="30" hidden="false" customHeight="true" outlineLevel="0" collapsed="false">
      <c r="B164" s="7" t="n">
        <v>3</v>
      </c>
      <c r="C164" s="7" t="s">
        <v>439</v>
      </c>
      <c r="D164" s="20" t="s">
        <v>440</v>
      </c>
      <c r="E164" s="20" t="s">
        <v>441</v>
      </c>
      <c r="F164" s="9" t="n">
        <v>200000</v>
      </c>
    </row>
    <row r="165" customFormat="false" ht="15" hidden="false" customHeight="true" outlineLevel="0" collapsed="false">
      <c r="B165" s="7" t="n">
        <v>4</v>
      </c>
      <c r="C165" s="7" t="s">
        <v>442</v>
      </c>
      <c r="D165" s="20" t="s">
        <v>443</v>
      </c>
      <c r="E165" s="20" t="s">
        <v>444</v>
      </c>
      <c r="F165" s="9" t="n">
        <v>200000</v>
      </c>
    </row>
    <row r="166" customFormat="false" ht="15" hidden="false" customHeight="true" outlineLevel="0" collapsed="false">
      <c r="B166" s="7" t="n">
        <v>5</v>
      </c>
      <c r="C166" s="7" t="s">
        <v>445</v>
      </c>
      <c r="D166" s="20" t="s">
        <v>200</v>
      </c>
      <c r="E166" s="20" t="s">
        <v>228</v>
      </c>
      <c r="F166" s="9" t="n">
        <v>100000</v>
      </c>
    </row>
    <row r="167" customFormat="false" ht="15" hidden="false" customHeight="true" outlineLevel="0" collapsed="false">
      <c r="B167" s="27"/>
      <c r="C167" s="27"/>
      <c r="D167" s="27" t="s">
        <v>446</v>
      </c>
      <c r="E167" s="27" t="s">
        <v>447</v>
      </c>
      <c r="F167" s="14" t="n">
        <f aca="false">SUM(F162:F166)</f>
        <v>1500000</v>
      </c>
    </row>
    <row r="168" customFormat="false" ht="30" hidden="false" customHeight="true" outlineLevel="0" collapsed="false">
      <c r="B168" s="25" t="n">
        <v>21</v>
      </c>
      <c r="C168" s="25" t="s">
        <v>136</v>
      </c>
      <c r="D168" s="26" t="s">
        <v>137</v>
      </c>
      <c r="E168" s="26" t="s">
        <v>377</v>
      </c>
      <c r="F168" s="25"/>
    </row>
    <row r="169" customFormat="false" ht="30" hidden="false" customHeight="true" outlineLevel="0" collapsed="false">
      <c r="B169" s="7" t="n">
        <v>1</v>
      </c>
      <c r="C169" s="7" t="s">
        <v>448</v>
      </c>
      <c r="D169" s="20" t="s">
        <v>449</v>
      </c>
      <c r="E169" s="20" t="s">
        <v>450</v>
      </c>
      <c r="F169" s="9" t="n">
        <v>1600000</v>
      </c>
    </row>
    <row r="170" customFormat="false" ht="15" hidden="false" customHeight="true" outlineLevel="0" collapsed="false">
      <c r="B170" s="7" t="n">
        <v>2</v>
      </c>
      <c r="C170" s="7" t="s">
        <v>451</v>
      </c>
      <c r="D170" s="20" t="s">
        <v>452</v>
      </c>
      <c r="E170" s="20" t="s">
        <v>453</v>
      </c>
      <c r="F170" s="9" t="n">
        <v>100000</v>
      </c>
    </row>
    <row r="171" customFormat="false" ht="30" hidden="false" customHeight="true" outlineLevel="0" collapsed="false">
      <c r="B171" s="7" t="n">
        <v>3</v>
      </c>
      <c r="C171" s="7" t="s">
        <v>454</v>
      </c>
      <c r="D171" s="20" t="s">
        <v>455</v>
      </c>
      <c r="E171" s="20" t="s">
        <v>456</v>
      </c>
      <c r="F171" s="9" t="n">
        <v>80000</v>
      </c>
    </row>
    <row r="172" customFormat="false" ht="15" hidden="false" customHeight="true" outlineLevel="0" collapsed="false">
      <c r="B172" s="7" t="n">
        <v>4</v>
      </c>
      <c r="C172" s="7" t="s">
        <v>457</v>
      </c>
      <c r="D172" s="20" t="s">
        <v>212</v>
      </c>
      <c r="E172" s="20" t="s">
        <v>458</v>
      </c>
      <c r="F172" s="9" t="n">
        <v>150000</v>
      </c>
    </row>
    <row r="173" customFormat="false" ht="15" hidden="false" customHeight="true" outlineLevel="0" collapsed="false">
      <c r="B173" s="7" t="n">
        <v>5</v>
      </c>
      <c r="C173" s="7" t="s">
        <v>459</v>
      </c>
      <c r="D173" s="20" t="s">
        <v>200</v>
      </c>
      <c r="E173" s="20" t="s">
        <v>460</v>
      </c>
      <c r="F173" s="9" t="n">
        <v>170000</v>
      </c>
    </row>
    <row r="174" customFormat="false" ht="15" hidden="false" customHeight="true" outlineLevel="0" collapsed="false">
      <c r="B174" s="27"/>
      <c r="C174" s="27"/>
      <c r="D174" s="27" t="s">
        <v>461</v>
      </c>
      <c r="E174" s="27" t="s">
        <v>462</v>
      </c>
      <c r="F174" s="14" t="n">
        <f aca="false">SUM(F169:F173)</f>
        <v>2100000</v>
      </c>
    </row>
    <row r="175" customFormat="false" ht="54" hidden="false" customHeight="true" outlineLevel="0" collapsed="false">
      <c r="B175" s="25" t="n">
        <v>22</v>
      </c>
      <c r="C175" s="25" t="s">
        <v>138</v>
      </c>
      <c r="D175" s="26" t="s">
        <v>139</v>
      </c>
      <c r="E175" s="26" t="s">
        <v>463</v>
      </c>
      <c r="F175" s="25"/>
    </row>
    <row r="176" customFormat="false" ht="15" hidden="false" customHeight="true" outlineLevel="0" collapsed="false">
      <c r="B176" s="7" t="n">
        <v>1</v>
      </c>
      <c r="C176" s="7" t="s">
        <v>464</v>
      </c>
      <c r="D176" s="20" t="s">
        <v>465</v>
      </c>
      <c r="E176" s="20" t="s">
        <v>466</v>
      </c>
      <c r="F176" s="9" t="n">
        <v>1200000</v>
      </c>
    </row>
    <row r="177" customFormat="false" ht="15" hidden="false" customHeight="true" outlineLevel="0" collapsed="false">
      <c r="B177" s="7" t="n">
        <v>2</v>
      </c>
      <c r="C177" s="7" t="s">
        <v>467</v>
      </c>
      <c r="D177" s="20" t="s">
        <v>468</v>
      </c>
      <c r="E177" s="20" t="s">
        <v>469</v>
      </c>
      <c r="F177" s="9" t="n">
        <v>500000</v>
      </c>
    </row>
    <row r="178" customFormat="false" ht="15" hidden="false" customHeight="true" outlineLevel="0" collapsed="false">
      <c r="B178" s="7" t="n">
        <v>3</v>
      </c>
      <c r="C178" s="7" t="s">
        <v>470</v>
      </c>
      <c r="D178" s="20" t="s">
        <v>471</v>
      </c>
      <c r="E178" s="20" t="s">
        <v>472</v>
      </c>
      <c r="F178" s="9" t="n">
        <v>400000</v>
      </c>
    </row>
    <row r="179" customFormat="false" ht="15" hidden="false" customHeight="true" outlineLevel="0" collapsed="false">
      <c r="B179" s="7" t="n">
        <v>4</v>
      </c>
      <c r="C179" s="7" t="s">
        <v>473</v>
      </c>
      <c r="D179" s="20" t="s">
        <v>474</v>
      </c>
      <c r="E179" s="20" t="s">
        <v>475</v>
      </c>
      <c r="F179" s="9" t="n">
        <v>350000</v>
      </c>
    </row>
    <row r="180" customFormat="false" ht="15" hidden="false" customHeight="true" outlineLevel="0" collapsed="false">
      <c r="B180" s="7" t="n">
        <v>5</v>
      </c>
      <c r="C180" s="7" t="s">
        <v>476</v>
      </c>
      <c r="D180" s="20" t="s">
        <v>477</v>
      </c>
      <c r="E180" s="20" t="s">
        <v>478</v>
      </c>
      <c r="F180" s="9" t="n">
        <v>300000</v>
      </c>
    </row>
    <row r="181" customFormat="false" ht="15" hidden="false" customHeight="true" outlineLevel="0" collapsed="false">
      <c r="B181" s="7" t="n">
        <v>6</v>
      </c>
      <c r="C181" s="7" t="s">
        <v>479</v>
      </c>
      <c r="D181" s="20" t="s">
        <v>480</v>
      </c>
      <c r="E181" s="20" t="s">
        <v>481</v>
      </c>
      <c r="F181" s="9" t="n">
        <v>1350000</v>
      </c>
    </row>
    <row r="182" customFormat="false" ht="15" hidden="false" customHeight="true" outlineLevel="0" collapsed="false">
      <c r="B182" s="7" t="n">
        <v>7</v>
      </c>
      <c r="C182" s="7" t="s">
        <v>482</v>
      </c>
      <c r="D182" s="20" t="s">
        <v>200</v>
      </c>
      <c r="E182" s="20" t="s">
        <v>483</v>
      </c>
      <c r="F182" s="9" t="n">
        <v>400000</v>
      </c>
    </row>
    <row r="183" customFormat="false" ht="15" hidden="false" customHeight="true" outlineLevel="0" collapsed="false">
      <c r="B183" s="27"/>
      <c r="C183" s="27"/>
      <c r="D183" s="27" t="s">
        <v>484</v>
      </c>
      <c r="E183" s="27" t="s">
        <v>485</v>
      </c>
      <c r="F183" s="14" t="n">
        <f aca="false">SUM(F176:F182)</f>
        <v>4500000</v>
      </c>
    </row>
    <row r="184" customFormat="false" ht="42" hidden="false" customHeight="true" outlineLevel="0" collapsed="false">
      <c r="B184" s="25" t="n">
        <v>23</v>
      </c>
      <c r="C184" s="25" t="s">
        <v>141</v>
      </c>
      <c r="D184" s="26" t="s">
        <v>142</v>
      </c>
      <c r="E184" s="26" t="s">
        <v>394</v>
      </c>
      <c r="F184" s="25"/>
    </row>
    <row r="185" customFormat="false" ht="15" hidden="false" customHeight="true" outlineLevel="0" collapsed="false">
      <c r="B185" s="7" t="n">
        <v>1</v>
      </c>
      <c r="C185" s="7" t="s">
        <v>486</v>
      </c>
      <c r="D185" s="20" t="s">
        <v>487</v>
      </c>
      <c r="E185" s="20" t="s">
        <v>488</v>
      </c>
      <c r="F185" s="9" t="n">
        <v>800000</v>
      </c>
    </row>
    <row r="186" customFormat="false" ht="15" hidden="false" customHeight="true" outlineLevel="0" collapsed="false">
      <c r="B186" s="7" t="n">
        <v>2</v>
      </c>
      <c r="C186" s="7" t="s">
        <v>489</v>
      </c>
      <c r="D186" s="20" t="s">
        <v>490</v>
      </c>
      <c r="E186" s="20" t="s">
        <v>491</v>
      </c>
      <c r="F186" s="9" t="n">
        <v>300000</v>
      </c>
    </row>
    <row r="187" customFormat="false" ht="15" hidden="false" customHeight="true" outlineLevel="0" collapsed="false">
      <c r="B187" s="7" t="n">
        <v>3</v>
      </c>
      <c r="C187" s="7" t="s">
        <v>492</v>
      </c>
      <c r="D187" s="20" t="s">
        <v>493</v>
      </c>
      <c r="E187" s="20" t="s">
        <v>494</v>
      </c>
      <c r="F187" s="9" t="n">
        <v>700000</v>
      </c>
    </row>
    <row r="188" customFormat="false" ht="15" hidden="false" customHeight="true" outlineLevel="0" collapsed="false">
      <c r="B188" s="7" t="n">
        <v>4</v>
      </c>
      <c r="C188" s="7" t="s">
        <v>495</v>
      </c>
      <c r="D188" s="20" t="s">
        <v>496</v>
      </c>
      <c r="E188" s="20" t="s">
        <v>405</v>
      </c>
      <c r="F188" s="9" t="n">
        <v>300000</v>
      </c>
    </row>
    <row r="189" customFormat="false" ht="15" hidden="false" customHeight="true" outlineLevel="0" collapsed="false">
      <c r="B189" s="7" t="n">
        <v>5</v>
      </c>
      <c r="C189" s="7" t="s">
        <v>497</v>
      </c>
      <c r="D189" s="20" t="s">
        <v>498</v>
      </c>
      <c r="E189" s="20" t="s">
        <v>499</v>
      </c>
      <c r="F189" s="9" t="n">
        <v>150000</v>
      </c>
    </row>
    <row r="190" customFormat="false" ht="15" hidden="false" customHeight="true" outlineLevel="0" collapsed="false">
      <c r="B190" s="7" t="n">
        <v>6</v>
      </c>
      <c r="C190" s="7" t="s">
        <v>500</v>
      </c>
      <c r="D190" s="20" t="s">
        <v>200</v>
      </c>
      <c r="E190" s="20" t="s">
        <v>501</v>
      </c>
      <c r="F190" s="9" t="n">
        <v>250000</v>
      </c>
    </row>
    <row r="191" customFormat="false" ht="15" hidden="false" customHeight="true" outlineLevel="0" collapsed="false">
      <c r="B191" s="27"/>
      <c r="C191" s="27"/>
      <c r="D191" s="27" t="s">
        <v>502</v>
      </c>
      <c r="E191" s="27" t="s">
        <v>503</v>
      </c>
      <c r="F191" s="14" t="n">
        <f aca="false">SUM(F185:F190)</f>
        <v>2500000</v>
      </c>
    </row>
    <row r="192" customFormat="false" ht="30" hidden="false" customHeight="true" outlineLevel="0" collapsed="false">
      <c r="B192" s="25" t="n">
        <v>24</v>
      </c>
      <c r="C192" s="25" t="s">
        <v>143</v>
      </c>
      <c r="D192" s="26" t="s">
        <v>144</v>
      </c>
      <c r="E192" s="26" t="s">
        <v>377</v>
      </c>
      <c r="F192" s="25"/>
    </row>
    <row r="193" customFormat="false" ht="15" hidden="false" customHeight="true" outlineLevel="0" collapsed="false">
      <c r="B193" s="7" t="n">
        <v>1</v>
      </c>
      <c r="C193" s="7" t="s">
        <v>504</v>
      </c>
      <c r="D193" s="20" t="s">
        <v>505</v>
      </c>
      <c r="E193" s="20" t="s">
        <v>506</v>
      </c>
      <c r="F193" s="9" t="n">
        <v>3200000</v>
      </c>
    </row>
    <row r="194" customFormat="false" ht="15" hidden="false" customHeight="true" outlineLevel="0" collapsed="false">
      <c r="B194" s="7" t="n">
        <v>2</v>
      </c>
      <c r="C194" s="7" t="s">
        <v>507</v>
      </c>
      <c r="D194" s="20" t="s">
        <v>422</v>
      </c>
      <c r="E194" s="20" t="s">
        <v>508</v>
      </c>
      <c r="F194" s="9" t="n">
        <v>800000</v>
      </c>
    </row>
    <row r="195" customFormat="false" ht="15" hidden="false" customHeight="true" outlineLevel="0" collapsed="false">
      <c r="B195" s="7" t="n">
        <v>3</v>
      </c>
      <c r="C195" s="7" t="s">
        <v>509</v>
      </c>
      <c r="D195" s="20" t="s">
        <v>510</v>
      </c>
      <c r="E195" s="20" t="s">
        <v>438</v>
      </c>
      <c r="F195" s="9" t="n">
        <v>400000</v>
      </c>
    </row>
    <row r="196" customFormat="false" ht="15" hidden="false" customHeight="true" outlineLevel="0" collapsed="false">
      <c r="B196" s="7" t="n">
        <v>4</v>
      </c>
      <c r="C196" s="7" t="s">
        <v>511</v>
      </c>
      <c r="D196" s="20" t="s">
        <v>212</v>
      </c>
      <c r="E196" s="20" t="s">
        <v>389</v>
      </c>
      <c r="F196" s="9" t="n">
        <v>300000</v>
      </c>
    </row>
    <row r="197" customFormat="false" ht="15" hidden="false" customHeight="true" outlineLevel="0" collapsed="false">
      <c r="B197" s="7" t="n">
        <v>5</v>
      </c>
      <c r="C197" s="7" t="s">
        <v>512</v>
      </c>
      <c r="D197" s="20" t="s">
        <v>200</v>
      </c>
      <c r="E197" s="20" t="s">
        <v>513</v>
      </c>
      <c r="F197" s="9" t="n">
        <v>300000</v>
      </c>
    </row>
    <row r="198" customFormat="false" ht="15" hidden="false" customHeight="true" outlineLevel="0" collapsed="false">
      <c r="B198" s="27"/>
      <c r="C198" s="27"/>
      <c r="D198" s="27" t="s">
        <v>514</v>
      </c>
      <c r="E198" s="27" t="s">
        <v>515</v>
      </c>
      <c r="F198" s="14" t="n">
        <f aca="false">SUM(F193:F197)</f>
        <v>5000000</v>
      </c>
    </row>
    <row r="199" customFormat="false" ht="30" hidden="false" customHeight="true" outlineLevel="0" collapsed="false">
      <c r="B199" s="25" t="n">
        <v>25</v>
      </c>
      <c r="C199" s="25" t="s">
        <v>145</v>
      </c>
      <c r="D199" s="26" t="s">
        <v>146</v>
      </c>
      <c r="E199" s="26" t="s">
        <v>394</v>
      </c>
      <c r="F199" s="25"/>
    </row>
    <row r="200" customFormat="false" ht="15" hidden="false" customHeight="true" outlineLevel="0" collapsed="false">
      <c r="B200" s="7" t="n">
        <v>1</v>
      </c>
      <c r="C200" s="7" t="s">
        <v>516</v>
      </c>
      <c r="D200" s="20" t="s">
        <v>517</v>
      </c>
      <c r="E200" s="20" t="s">
        <v>518</v>
      </c>
      <c r="F200" s="9" t="n">
        <v>400000</v>
      </c>
    </row>
    <row r="201" customFormat="false" ht="15" hidden="false" customHeight="true" outlineLevel="0" collapsed="false">
      <c r="B201" s="7" t="n">
        <v>2</v>
      </c>
      <c r="C201" s="7" t="s">
        <v>519</v>
      </c>
      <c r="D201" s="20" t="s">
        <v>520</v>
      </c>
      <c r="E201" s="20" t="s">
        <v>521</v>
      </c>
      <c r="F201" s="9" t="n">
        <v>350000</v>
      </c>
    </row>
    <row r="202" customFormat="false" ht="15" hidden="false" customHeight="true" outlineLevel="0" collapsed="false">
      <c r="B202" s="7" t="n">
        <v>3</v>
      </c>
      <c r="C202" s="7" t="s">
        <v>522</v>
      </c>
      <c r="D202" s="20" t="s">
        <v>523</v>
      </c>
      <c r="E202" s="20" t="s">
        <v>491</v>
      </c>
      <c r="F202" s="9" t="n">
        <v>250000</v>
      </c>
    </row>
    <row r="203" customFormat="false" ht="15" hidden="false" customHeight="true" outlineLevel="0" collapsed="false">
      <c r="B203" s="7" t="n">
        <v>4</v>
      </c>
      <c r="C203" s="7" t="s">
        <v>524</v>
      </c>
      <c r="D203" s="20" t="s">
        <v>525</v>
      </c>
      <c r="E203" s="20" t="s">
        <v>494</v>
      </c>
      <c r="F203" s="9" t="n">
        <v>300000</v>
      </c>
    </row>
    <row r="204" customFormat="false" ht="15" hidden="false" customHeight="true" outlineLevel="0" collapsed="false">
      <c r="B204" s="7" t="n">
        <v>5</v>
      </c>
      <c r="C204" s="7" t="s">
        <v>526</v>
      </c>
      <c r="D204" s="20" t="s">
        <v>527</v>
      </c>
      <c r="E204" s="20" t="s">
        <v>528</v>
      </c>
      <c r="F204" s="9" t="n">
        <v>100000</v>
      </c>
    </row>
    <row r="205" customFormat="false" ht="15" hidden="false" customHeight="true" outlineLevel="0" collapsed="false">
      <c r="B205" s="7" t="n">
        <v>6</v>
      </c>
      <c r="C205" s="7" t="s">
        <v>529</v>
      </c>
      <c r="D205" s="20" t="s">
        <v>200</v>
      </c>
      <c r="E205" s="20" t="s">
        <v>228</v>
      </c>
      <c r="F205" s="9" t="n">
        <v>100000</v>
      </c>
    </row>
    <row r="206" customFormat="false" ht="15" hidden="false" customHeight="true" outlineLevel="0" collapsed="false">
      <c r="B206" s="27"/>
      <c r="C206" s="27"/>
      <c r="D206" s="27" t="s">
        <v>530</v>
      </c>
      <c r="E206" s="27" t="s">
        <v>531</v>
      </c>
      <c r="F206" s="14" t="n">
        <f aca="false">SUM(F200:F205)</f>
        <v>1500000</v>
      </c>
    </row>
    <row r="207" customFormat="false" ht="30" hidden="false" customHeight="true" outlineLevel="0" collapsed="false">
      <c r="B207" s="25" t="n">
        <v>26</v>
      </c>
      <c r="C207" s="25" t="s">
        <v>147</v>
      </c>
      <c r="D207" s="26" t="s">
        <v>148</v>
      </c>
      <c r="E207" s="26" t="s">
        <v>394</v>
      </c>
      <c r="F207" s="25"/>
    </row>
    <row r="208" customFormat="false" ht="15" hidden="false" customHeight="true" outlineLevel="0" collapsed="false">
      <c r="B208" s="7" t="n">
        <v>1</v>
      </c>
      <c r="C208" s="7" t="s">
        <v>532</v>
      </c>
      <c r="D208" s="20" t="s">
        <v>533</v>
      </c>
      <c r="E208" s="20" t="s">
        <v>494</v>
      </c>
      <c r="F208" s="9" t="n">
        <v>250000</v>
      </c>
    </row>
    <row r="209" customFormat="false" ht="15" hidden="false" customHeight="true" outlineLevel="0" collapsed="false">
      <c r="B209" s="7" t="n">
        <v>2</v>
      </c>
      <c r="C209" s="7" t="s">
        <v>534</v>
      </c>
      <c r="D209" s="20" t="s">
        <v>535</v>
      </c>
      <c r="E209" s="20" t="s">
        <v>438</v>
      </c>
      <c r="F209" s="9" t="n">
        <v>100000</v>
      </c>
    </row>
    <row r="210" customFormat="false" ht="15" hidden="false" customHeight="true" outlineLevel="0" collapsed="false">
      <c r="B210" s="7" t="n">
        <v>3</v>
      </c>
      <c r="C210" s="7" t="s">
        <v>536</v>
      </c>
      <c r="D210" s="20" t="s">
        <v>537</v>
      </c>
      <c r="E210" s="20" t="s">
        <v>444</v>
      </c>
      <c r="F210" s="9" t="n">
        <v>100000</v>
      </c>
    </row>
    <row r="211" customFormat="false" ht="15" hidden="false" customHeight="true" outlineLevel="0" collapsed="false">
      <c r="B211" s="7" t="n">
        <v>4</v>
      </c>
      <c r="C211" s="7" t="s">
        <v>538</v>
      </c>
      <c r="D211" s="20" t="s">
        <v>200</v>
      </c>
      <c r="E211" s="20" t="s">
        <v>501</v>
      </c>
      <c r="F211" s="9" t="n">
        <v>50000</v>
      </c>
    </row>
    <row r="212" customFormat="false" ht="15" hidden="false" customHeight="true" outlineLevel="0" collapsed="false">
      <c r="B212" s="27"/>
      <c r="C212" s="27"/>
      <c r="D212" s="27" t="s">
        <v>539</v>
      </c>
      <c r="E212" s="27" t="s">
        <v>540</v>
      </c>
      <c r="F212" s="14" t="n">
        <f aca="false">SUM(F208:F211)</f>
        <v>500000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</cols>
  <sheetData>
    <row r="1" customFormat="false" ht="15" hidden="false" customHeight="false" outlineLevel="0" collapsed="false"/>
    <row r="2" customFormat="false" ht="31.5" hidden="false" customHeight="true" outlineLevel="0" collapsed="false">
      <c r="B2" s="2" t="s">
        <v>541</v>
      </c>
      <c r="C2" s="2"/>
      <c r="D2" s="2"/>
      <c r="E2" s="2"/>
      <c r="F2" s="2"/>
      <c r="G2" s="2"/>
      <c r="H2" s="2"/>
    </row>
    <row r="3" customFormat="false" ht="7.5" hidden="false" customHeight="true" outlineLevel="0" collapsed="false"/>
    <row r="4" customFormat="false" ht="19.5" hidden="false" customHeight="true" outlineLevel="0" collapsed="false">
      <c r="B4" s="3" t="s">
        <v>542</v>
      </c>
      <c r="C4" s="4" t="s">
        <v>543</v>
      </c>
      <c r="D4" s="4"/>
      <c r="E4" s="4"/>
      <c r="F4" s="4"/>
      <c r="G4" s="4"/>
      <c r="H4" s="4"/>
    </row>
    <row r="5" customFormat="false" ht="19.5" hidden="false" customHeight="true" outlineLevel="0" collapsed="false">
      <c r="B5" s="3" t="s">
        <v>544</v>
      </c>
      <c r="C5" s="4" t="s">
        <v>545</v>
      </c>
      <c r="D5" s="4"/>
      <c r="E5" s="4"/>
      <c r="F5" s="4"/>
      <c r="G5" s="4"/>
      <c r="H5" s="4"/>
    </row>
    <row r="6" customFormat="false" ht="19.5" hidden="false" customHeight="true" outlineLevel="0" collapsed="false">
      <c r="B6" s="3" t="s">
        <v>18</v>
      </c>
      <c r="C6" s="4" t="s">
        <v>546</v>
      </c>
      <c r="D6" s="4"/>
      <c r="E6" s="4"/>
      <c r="F6" s="4"/>
      <c r="G6" s="4"/>
      <c r="H6" s="4"/>
    </row>
    <row r="7" customFormat="false" ht="19.5" hidden="false" customHeight="true" outlineLevel="0" collapsed="false">
      <c r="B7" s="3" t="s">
        <v>547</v>
      </c>
      <c r="C7" s="4" t="s">
        <v>548</v>
      </c>
      <c r="D7" s="4"/>
      <c r="E7" s="4"/>
      <c r="F7" s="4"/>
      <c r="G7" s="4"/>
      <c r="H7" s="4"/>
    </row>
    <row r="8" customFormat="false" ht="19.5" hidden="false" customHeight="true" outlineLevel="0" collapsed="false">
      <c r="B8" s="3" t="s">
        <v>549</v>
      </c>
      <c r="C8" s="28" t="n">
        <f aca="false">RINGKASAN!$J$15</f>
        <v>41025000</v>
      </c>
      <c r="D8" s="28"/>
      <c r="E8" s="28"/>
      <c r="F8" s="28"/>
      <c r="G8" s="28"/>
      <c r="H8" s="28"/>
    </row>
    <row r="9" customFormat="false" ht="19.5" hidden="false" customHeight="true" outlineLevel="0" collapsed="false">
      <c r="B9" s="3" t="s">
        <v>79</v>
      </c>
      <c r="C9" s="4" t="s">
        <v>80</v>
      </c>
      <c r="D9" s="4"/>
      <c r="E9" s="4"/>
      <c r="F9" s="4"/>
      <c r="G9" s="4"/>
      <c r="H9" s="4"/>
    </row>
    <row r="10" customFormat="false" ht="19.5" hidden="false" customHeight="true" outlineLevel="0" collapsed="false">
      <c r="B10" s="3" t="s">
        <v>9</v>
      </c>
      <c r="C10" s="4" t="s">
        <v>10</v>
      </c>
      <c r="D10" s="4"/>
      <c r="E10" s="4"/>
      <c r="F10" s="4"/>
      <c r="G10" s="4"/>
      <c r="H10" s="4"/>
    </row>
    <row r="12" customFormat="false" ht="21.75" hidden="false" customHeight="true" outlineLevel="0" collapsed="false">
      <c r="B12" s="19" t="s">
        <v>550</v>
      </c>
      <c r="C12" s="19"/>
      <c r="D12" s="19"/>
      <c r="E12" s="19"/>
      <c r="F12" s="19"/>
      <c r="G12" s="19"/>
      <c r="H12" s="19"/>
    </row>
    <row r="13" customFormat="false" ht="27.75" hidden="false" customHeight="true" outlineLevel="0" collapsed="false">
      <c r="B13" s="6" t="s">
        <v>16</v>
      </c>
      <c r="C13" s="6" t="s">
        <v>551</v>
      </c>
      <c r="D13" s="6" t="s">
        <v>552</v>
      </c>
      <c r="E13" s="6" t="s">
        <v>553</v>
      </c>
      <c r="F13" s="6" t="s">
        <v>87</v>
      </c>
      <c r="G13" s="6" t="s">
        <v>88</v>
      </c>
      <c r="H13" s="6" t="s">
        <v>554</v>
      </c>
    </row>
    <row r="14" customFormat="false" ht="21.75" hidden="false" customHeight="true" outlineLevel="0" collapsed="false">
      <c r="B14" s="29" t="s">
        <v>555</v>
      </c>
      <c r="C14" s="30" t="s">
        <v>556</v>
      </c>
      <c r="D14" s="31"/>
      <c r="E14" s="31"/>
      <c r="F14" s="31"/>
      <c r="G14" s="31"/>
      <c r="H14" s="31"/>
    </row>
    <row r="15" customFormat="false" ht="36" hidden="false" customHeight="true" outlineLevel="0" collapsed="false">
      <c r="B15" s="7" t="s">
        <v>557</v>
      </c>
      <c r="C15" s="20" t="s">
        <v>91</v>
      </c>
      <c r="D15" s="32" t="n">
        <v>40</v>
      </c>
      <c r="E15" s="32" t="n">
        <v>40</v>
      </c>
      <c r="F15" s="21" t="s">
        <v>92</v>
      </c>
      <c r="G15" s="9" t="n">
        <f aca="false">'Master of Price'!$G$12</f>
        <v>352000</v>
      </c>
      <c r="H15" s="9" t="n">
        <f aca="false">E15*G15</f>
        <v>14080000</v>
      </c>
    </row>
    <row r="16" customFormat="false" ht="27.75" hidden="false" customHeight="true" outlineLevel="0" collapsed="false">
      <c r="B16" s="10" t="s">
        <v>558</v>
      </c>
      <c r="C16" s="33" t="s">
        <v>94</v>
      </c>
      <c r="D16" s="34" t="n">
        <v>40</v>
      </c>
      <c r="E16" s="34" t="n">
        <v>40</v>
      </c>
      <c r="F16" s="35" t="s">
        <v>92</v>
      </c>
      <c r="G16" s="12" t="n">
        <f aca="false">'Master of Price'!$G$13</f>
        <v>100000</v>
      </c>
      <c r="H16" s="12" t="n">
        <f aca="false">E16*G16</f>
        <v>4000000</v>
      </c>
    </row>
    <row r="17" customFormat="false" ht="27.75" hidden="false" customHeight="true" outlineLevel="0" collapsed="false">
      <c r="B17" s="7" t="s">
        <v>559</v>
      </c>
      <c r="C17" s="20" t="s">
        <v>96</v>
      </c>
      <c r="D17" s="32" t="n">
        <v>40</v>
      </c>
      <c r="E17" s="32" t="n">
        <v>40</v>
      </c>
      <c r="F17" s="21" t="s">
        <v>92</v>
      </c>
      <c r="G17" s="9" t="n">
        <f aca="false">'Master of Price'!$G$14</f>
        <v>28000</v>
      </c>
      <c r="H17" s="9" t="n">
        <f aca="false">E17*G17</f>
        <v>1120000</v>
      </c>
    </row>
    <row r="18" customFormat="false" ht="27.75" hidden="false" customHeight="true" outlineLevel="0" collapsed="false">
      <c r="B18" s="10" t="s">
        <v>560</v>
      </c>
      <c r="C18" s="33" t="s">
        <v>98</v>
      </c>
      <c r="D18" s="34" t="n">
        <v>40</v>
      </c>
      <c r="E18" s="34" t="n">
        <v>40</v>
      </c>
      <c r="F18" s="35" t="s">
        <v>92</v>
      </c>
      <c r="G18" s="12" t="n">
        <f aca="false">'Master of Price'!$G$15</f>
        <v>45000</v>
      </c>
      <c r="H18" s="12" t="n">
        <f aca="false">E18*G18</f>
        <v>1800000</v>
      </c>
    </row>
    <row r="19" customFormat="false" ht="27.75" hidden="false" customHeight="true" outlineLevel="0" collapsed="false">
      <c r="B19" s="7" t="s">
        <v>561</v>
      </c>
      <c r="C19" s="20" t="s">
        <v>100</v>
      </c>
      <c r="D19" s="32" t="n">
        <v>40</v>
      </c>
      <c r="E19" s="32" t="n">
        <v>40</v>
      </c>
      <c r="F19" s="21" t="s">
        <v>92</v>
      </c>
      <c r="G19" s="9" t="n">
        <f aca="false">'Master of Price'!$G$16</f>
        <v>75000</v>
      </c>
      <c r="H19" s="9" t="n">
        <f aca="false">E19*G19</f>
        <v>3000000</v>
      </c>
    </row>
    <row r="20" customFormat="false" ht="25.5" hidden="false" customHeight="true" outlineLevel="0" collapsed="false">
      <c r="B20" s="27" t="s">
        <v>562</v>
      </c>
      <c r="C20" s="27"/>
      <c r="D20" s="27"/>
      <c r="E20" s="27"/>
      <c r="F20" s="27"/>
      <c r="G20" s="27"/>
      <c r="H20" s="14" t="n">
        <f aca="false">H15+H16+H17+H18+H19</f>
        <v>24000000</v>
      </c>
    </row>
    <row r="22" customFormat="false" ht="21.75" hidden="false" customHeight="true" outlineLevel="0" collapsed="false">
      <c r="B22" s="19" t="s">
        <v>563</v>
      </c>
      <c r="C22" s="19"/>
      <c r="D22" s="19"/>
      <c r="E22" s="19"/>
      <c r="F22" s="19"/>
      <c r="G22" s="19"/>
      <c r="H22" s="19"/>
    </row>
    <row r="23" customFormat="false" ht="27.75" hidden="false" customHeight="true" outlineLevel="0" collapsed="false">
      <c r="B23" s="6" t="s">
        <v>16</v>
      </c>
      <c r="C23" s="6" t="s">
        <v>551</v>
      </c>
      <c r="D23" s="6" t="s">
        <v>552</v>
      </c>
      <c r="E23" s="6" t="s">
        <v>553</v>
      </c>
      <c r="F23" s="6" t="s">
        <v>87</v>
      </c>
      <c r="G23" s="6" t="s">
        <v>88</v>
      </c>
      <c r="H23" s="6" t="s">
        <v>554</v>
      </c>
    </row>
    <row r="24" customFormat="false" ht="21.75" hidden="false" customHeight="true" outlineLevel="0" collapsed="false">
      <c r="B24" s="29" t="s">
        <v>555</v>
      </c>
      <c r="C24" s="30" t="s">
        <v>564</v>
      </c>
      <c r="D24" s="31"/>
      <c r="E24" s="31"/>
      <c r="F24" s="31"/>
      <c r="G24" s="31"/>
      <c r="H24" s="31"/>
    </row>
    <row r="25" customFormat="false" ht="36" hidden="false" customHeight="true" outlineLevel="0" collapsed="false">
      <c r="B25" s="7" t="s">
        <v>557</v>
      </c>
      <c r="C25" s="20" t="s">
        <v>111</v>
      </c>
      <c r="D25" s="32" t="n">
        <v>0.1</v>
      </c>
      <c r="E25" s="32" t="n">
        <v>0.1</v>
      </c>
      <c r="F25" s="21" t="s">
        <v>112</v>
      </c>
      <c r="G25" s="9" t="n">
        <f aca="false">'Master of Price'!$G$21</f>
        <v>1000000</v>
      </c>
      <c r="H25" s="9" t="n">
        <f aca="false">E25*G25</f>
        <v>100000</v>
      </c>
    </row>
    <row r="26" customFormat="false" ht="25.5" hidden="false" customHeight="true" outlineLevel="0" collapsed="false">
      <c r="B26" s="27" t="s">
        <v>565</v>
      </c>
      <c r="C26" s="27"/>
      <c r="D26" s="27"/>
      <c r="E26" s="27"/>
      <c r="F26" s="27"/>
      <c r="G26" s="27"/>
      <c r="H26" s="14" t="n">
        <f aca="false">H25</f>
        <v>100000</v>
      </c>
    </row>
    <row r="28" customFormat="false" ht="21.75" hidden="false" customHeight="true" outlineLevel="0" collapsed="false">
      <c r="B28" s="19" t="s">
        <v>566</v>
      </c>
      <c r="C28" s="19"/>
      <c r="D28" s="19"/>
      <c r="E28" s="19"/>
      <c r="F28" s="19"/>
      <c r="G28" s="19"/>
      <c r="H28" s="19"/>
    </row>
    <row r="29" customFormat="false" ht="27.75" hidden="false" customHeight="true" outlineLevel="0" collapsed="false">
      <c r="B29" s="6" t="s">
        <v>16</v>
      </c>
      <c r="C29" s="6" t="s">
        <v>551</v>
      </c>
      <c r="D29" s="6" t="s">
        <v>552</v>
      </c>
      <c r="E29" s="6" t="s">
        <v>553</v>
      </c>
      <c r="F29" s="6" t="s">
        <v>87</v>
      </c>
      <c r="G29" s="6" t="s">
        <v>88</v>
      </c>
      <c r="H29" s="6" t="s">
        <v>554</v>
      </c>
    </row>
    <row r="30" customFormat="false" ht="21.75" hidden="false" customHeight="true" outlineLevel="0" collapsed="false">
      <c r="B30" s="29" t="s">
        <v>555</v>
      </c>
      <c r="C30" s="30" t="s">
        <v>567</v>
      </c>
      <c r="D30" s="31"/>
      <c r="E30" s="31"/>
      <c r="F30" s="31"/>
      <c r="G30" s="31"/>
      <c r="H30" s="31"/>
    </row>
    <row r="31" customFormat="false" ht="36" hidden="false" customHeight="true" outlineLevel="0" collapsed="false">
      <c r="B31" s="7" t="s">
        <v>557</v>
      </c>
      <c r="C31" s="20" t="s">
        <v>127</v>
      </c>
      <c r="D31" s="32" t="n">
        <v>1</v>
      </c>
      <c r="E31" s="32" t="n">
        <v>1</v>
      </c>
      <c r="F31" s="21" t="s">
        <v>128</v>
      </c>
      <c r="G31" s="9" t="n">
        <f aca="false">'Master of Price'!$G$28</f>
        <v>12500000</v>
      </c>
      <c r="H31" s="9" t="n">
        <f aca="false">E31*G31</f>
        <v>12500000</v>
      </c>
    </row>
    <row r="32" customFormat="false" ht="36" hidden="false" customHeight="true" outlineLevel="0" collapsed="false">
      <c r="B32" s="10" t="s">
        <v>558</v>
      </c>
      <c r="C32" s="33" t="s">
        <v>130</v>
      </c>
      <c r="D32" s="34" t="n">
        <v>1</v>
      </c>
      <c r="E32" s="34" t="n">
        <v>1</v>
      </c>
      <c r="F32" s="35" t="s">
        <v>131</v>
      </c>
      <c r="G32" s="12" t="n">
        <f aca="false">'Master of Price'!$G$29</f>
        <v>1500000</v>
      </c>
      <c r="H32" s="12" t="n">
        <f aca="false">E32*G32</f>
        <v>1500000</v>
      </c>
    </row>
    <row r="33" customFormat="false" ht="21.75" hidden="false" customHeight="true" outlineLevel="0" collapsed="false">
      <c r="B33" s="7" t="s">
        <v>559</v>
      </c>
      <c r="C33" s="20" t="s">
        <v>568</v>
      </c>
      <c r="D33" s="32" t="n">
        <v>1</v>
      </c>
      <c r="E33" s="32" t="n">
        <v>1</v>
      </c>
      <c r="F33" s="21" t="s">
        <v>131</v>
      </c>
      <c r="G33" s="9" t="n">
        <f aca="false">H37-(H20+H26+H31+H32)</f>
        <v>2925000</v>
      </c>
      <c r="H33" s="9" t="n">
        <f aca="false">E33*G33</f>
        <v>2925000</v>
      </c>
    </row>
    <row r="34" customFormat="false" ht="25.5" hidden="false" customHeight="true" outlineLevel="0" collapsed="false">
      <c r="B34" s="27" t="s">
        <v>569</v>
      </c>
      <c r="C34" s="27"/>
      <c r="D34" s="27"/>
      <c r="E34" s="27"/>
      <c r="F34" s="27"/>
      <c r="G34" s="27"/>
      <c r="H34" s="14" t="n">
        <f aca="false">H31+H32+H33</f>
        <v>16925000</v>
      </c>
    </row>
    <row r="36" customFormat="false" ht="27.75" hidden="false" customHeight="true" outlineLevel="0" collapsed="false">
      <c r="B36" s="13" t="s">
        <v>570</v>
      </c>
      <c r="C36" s="13"/>
      <c r="D36" s="13"/>
      <c r="E36" s="13"/>
      <c r="F36" s="13"/>
      <c r="G36" s="13"/>
      <c r="H36" s="15" t="n">
        <f aca="false">H20+H26+H34</f>
        <v>41025000</v>
      </c>
    </row>
    <row r="37" customFormat="false" ht="21.75" hidden="false" customHeight="true" outlineLevel="0" collapsed="false">
      <c r="B37" s="36" t="s">
        <v>571</v>
      </c>
      <c r="C37" s="36"/>
      <c r="D37" s="36"/>
      <c r="E37" s="36"/>
      <c r="F37" s="36"/>
      <c r="G37" s="36"/>
      <c r="H37" s="37" t="n">
        <f aca="false">RINGKASAN!$J$15</f>
        <v>41025000</v>
      </c>
    </row>
    <row r="38" customFormat="false" ht="21.75" hidden="false" customHeight="true" outlineLevel="0" collapsed="false">
      <c r="B38" s="38" t="s">
        <v>572</v>
      </c>
      <c r="C38" s="38"/>
      <c r="D38" s="38"/>
      <c r="E38" s="38"/>
      <c r="F38" s="38"/>
      <c r="G38" s="38"/>
      <c r="H38" s="9" t="n">
        <f aca="false">H36-H37</f>
        <v>0</v>
      </c>
    </row>
    <row r="39" customFormat="false" ht="21.75" hidden="false" customHeight="true" outlineLevel="0" collapsed="false">
      <c r="B39" s="39" t="s">
        <v>573</v>
      </c>
      <c r="C39" s="39"/>
      <c r="D39" s="39"/>
      <c r="E39" s="39"/>
      <c r="F39" s="39"/>
      <c r="G39" s="39"/>
      <c r="H39" s="10" t="str">
        <f aca="false">IF(H33&lt;0,"OVER BUDGET","OK")</f>
        <v>OK</v>
      </c>
    </row>
  </sheetData>
  <mergeCells count="21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2:H22"/>
    <mergeCell ref="D24:H24"/>
    <mergeCell ref="B26:G26"/>
    <mergeCell ref="B28:H28"/>
    <mergeCell ref="D30:H30"/>
    <mergeCell ref="B34:G34"/>
    <mergeCell ref="B36:G36"/>
    <mergeCell ref="B37:G37"/>
    <mergeCell ref="B38:G38"/>
    <mergeCell ref="B39:G39"/>
  </mergeCells>
  <conditionalFormatting sqref="H39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</cols>
  <sheetData>
    <row r="1" customFormat="false" ht="15" hidden="false" customHeight="false" outlineLevel="0" collapsed="false"/>
    <row r="2" customFormat="false" ht="31.5" hidden="false" customHeight="true" outlineLevel="0" collapsed="false">
      <c r="B2" s="2" t="s">
        <v>574</v>
      </c>
      <c r="C2" s="2"/>
      <c r="D2" s="2"/>
      <c r="E2" s="2"/>
      <c r="F2" s="2"/>
      <c r="G2" s="2"/>
      <c r="H2" s="2"/>
    </row>
    <row r="3" customFormat="false" ht="7.5" hidden="false" customHeight="true" outlineLevel="0" collapsed="false"/>
    <row r="4" customFormat="false" ht="19.5" hidden="false" customHeight="true" outlineLevel="0" collapsed="false">
      <c r="B4" s="3" t="s">
        <v>542</v>
      </c>
      <c r="C4" s="4" t="s">
        <v>575</v>
      </c>
      <c r="D4" s="4"/>
      <c r="E4" s="4"/>
      <c r="F4" s="4"/>
      <c r="G4" s="4"/>
      <c r="H4" s="4"/>
    </row>
    <row r="5" customFormat="false" ht="19.5" hidden="false" customHeight="true" outlineLevel="0" collapsed="false">
      <c r="B5" s="3" t="s">
        <v>544</v>
      </c>
      <c r="C5" s="4" t="s">
        <v>576</v>
      </c>
      <c r="D5" s="4"/>
      <c r="E5" s="4"/>
      <c r="F5" s="4"/>
      <c r="G5" s="4"/>
      <c r="H5" s="4"/>
    </row>
    <row r="6" customFormat="false" ht="19.5" hidden="false" customHeight="true" outlineLevel="0" collapsed="false">
      <c r="B6" s="3" t="s">
        <v>18</v>
      </c>
      <c r="C6" s="4" t="s">
        <v>577</v>
      </c>
      <c r="D6" s="4"/>
      <c r="E6" s="4"/>
      <c r="F6" s="4"/>
      <c r="G6" s="4"/>
      <c r="H6" s="4"/>
    </row>
    <row r="7" customFormat="false" ht="19.5" hidden="false" customHeight="true" outlineLevel="0" collapsed="false">
      <c r="B7" s="3" t="s">
        <v>547</v>
      </c>
      <c r="C7" s="4" t="s">
        <v>578</v>
      </c>
      <c r="D7" s="4"/>
      <c r="E7" s="4"/>
      <c r="F7" s="4"/>
      <c r="G7" s="4"/>
      <c r="H7" s="4"/>
    </row>
    <row r="8" customFormat="false" ht="19.5" hidden="false" customHeight="true" outlineLevel="0" collapsed="false">
      <c r="B8" s="3" t="s">
        <v>549</v>
      </c>
      <c r="C8" s="28" t="n">
        <f aca="false">RINGKASAN!$J$16</f>
        <v>75519821</v>
      </c>
      <c r="D8" s="28"/>
      <c r="E8" s="28"/>
      <c r="F8" s="28"/>
      <c r="G8" s="28"/>
      <c r="H8" s="28"/>
    </row>
    <row r="9" customFormat="false" ht="19.5" hidden="false" customHeight="true" outlineLevel="0" collapsed="false">
      <c r="B9" s="3" t="s">
        <v>79</v>
      </c>
      <c r="C9" s="4" t="s">
        <v>80</v>
      </c>
      <c r="D9" s="4"/>
      <c r="E9" s="4"/>
      <c r="F9" s="4"/>
      <c r="G9" s="4"/>
      <c r="H9" s="4"/>
    </row>
    <row r="10" customFormat="false" ht="19.5" hidden="false" customHeight="true" outlineLevel="0" collapsed="false">
      <c r="B10" s="3" t="s">
        <v>9</v>
      </c>
      <c r="C10" s="4" t="s">
        <v>10</v>
      </c>
      <c r="D10" s="4"/>
      <c r="E10" s="4"/>
      <c r="F10" s="4"/>
      <c r="G10" s="4"/>
      <c r="H10" s="4"/>
    </row>
    <row r="12" customFormat="false" ht="21.75" hidden="false" customHeight="true" outlineLevel="0" collapsed="false">
      <c r="B12" s="19" t="s">
        <v>550</v>
      </c>
      <c r="C12" s="19"/>
      <c r="D12" s="19"/>
      <c r="E12" s="19"/>
      <c r="F12" s="19"/>
      <c r="G12" s="19"/>
      <c r="H12" s="19"/>
    </row>
    <row r="13" customFormat="false" ht="27.75" hidden="false" customHeight="true" outlineLevel="0" collapsed="false">
      <c r="B13" s="6" t="s">
        <v>16</v>
      </c>
      <c r="C13" s="6" t="s">
        <v>551</v>
      </c>
      <c r="D13" s="6" t="s">
        <v>552</v>
      </c>
      <c r="E13" s="6" t="s">
        <v>553</v>
      </c>
      <c r="F13" s="6" t="s">
        <v>87</v>
      </c>
      <c r="G13" s="6" t="s">
        <v>88</v>
      </c>
      <c r="H13" s="6" t="s">
        <v>554</v>
      </c>
    </row>
    <row r="14" customFormat="false" ht="21.75" hidden="false" customHeight="true" outlineLevel="0" collapsed="false">
      <c r="B14" s="29" t="s">
        <v>555</v>
      </c>
      <c r="C14" s="30" t="s">
        <v>556</v>
      </c>
      <c r="D14" s="31"/>
      <c r="E14" s="31"/>
      <c r="F14" s="31"/>
      <c r="G14" s="31"/>
      <c r="H14" s="31"/>
    </row>
    <row r="15" customFormat="false" ht="36" hidden="false" customHeight="true" outlineLevel="0" collapsed="false">
      <c r="B15" s="7" t="s">
        <v>557</v>
      </c>
      <c r="C15" s="20" t="s">
        <v>91</v>
      </c>
      <c r="D15" s="32" t="n">
        <v>40</v>
      </c>
      <c r="E15" s="32" t="n">
        <v>40</v>
      </c>
      <c r="F15" s="21" t="s">
        <v>92</v>
      </c>
      <c r="G15" s="9" t="n">
        <f aca="false">'Master of Price'!$G$12</f>
        <v>352000</v>
      </c>
      <c r="H15" s="9" t="n">
        <f aca="false">E15*G15</f>
        <v>14080000</v>
      </c>
    </row>
    <row r="16" customFormat="false" ht="27.75" hidden="false" customHeight="true" outlineLevel="0" collapsed="false">
      <c r="B16" s="10" t="s">
        <v>558</v>
      </c>
      <c r="C16" s="33" t="s">
        <v>94</v>
      </c>
      <c r="D16" s="34" t="n">
        <v>40</v>
      </c>
      <c r="E16" s="34" t="n">
        <v>40</v>
      </c>
      <c r="F16" s="35" t="s">
        <v>92</v>
      </c>
      <c r="G16" s="12" t="n">
        <f aca="false">'Master of Price'!$G$13</f>
        <v>100000</v>
      </c>
      <c r="H16" s="12" t="n">
        <f aca="false">E16*G16</f>
        <v>4000000</v>
      </c>
    </row>
    <row r="17" customFormat="false" ht="27.75" hidden="false" customHeight="true" outlineLevel="0" collapsed="false">
      <c r="B17" s="7" t="s">
        <v>559</v>
      </c>
      <c r="C17" s="20" t="s">
        <v>96</v>
      </c>
      <c r="D17" s="32" t="n">
        <v>40</v>
      </c>
      <c r="E17" s="32" t="n">
        <v>40</v>
      </c>
      <c r="F17" s="21" t="s">
        <v>92</v>
      </c>
      <c r="G17" s="9" t="n">
        <f aca="false">'Master of Price'!$G$14</f>
        <v>28000</v>
      </c>
      <c r="H17" s="9" t="n">
        <f aca="false">E17*G17</f>
        <v>1120000</v>
      </c>
    </row>
    <row r="18" customFormat="false" ht="27.75" hidden="false" customHeight="true" outlineLevel="0" collapsed="false">
      <c r="B18" s="10" t="s">
        <v>560</v>
      </c>
      <c r="C18" s="33" t="s">
        <v>98</v>
      </c>
      <c r="D18" s="34" t="n">
        <v>40</v>
      </c>
      <c r="E18" s="34" t="n">
        <v>40</v>
      </c>
      <c r="F18" s="35" t="s">
        <v>92</v>
      </c>
      <c r="G18" s="12" t="n">
        <f aca="false">'Master of Price'!$G$15</f>
        <v>45000</v>
      </c>
      <c r="H18" s="12" t="n">
        <f aca="false">E18*G18</f>
        <v>1800000</v>
      </c>
    </row>
    <row r="19" customFormat="false" ht="27.75" hidden="false" customHeight="true" outlineLevel="0" collapsed="false">
      <c r="B19" s="7" t="s">
        <v>561</v>
      </c>
      <c r="C19" s="20" t="s">
        <v>100</v>
      </c>
      <c r="D19" s="32" t="n">
        <v>40</v>
      </c>
      <c r="E19" s="32" t="n">
        <v>40</v>
      </c>
      <c r="F19" s="21" t="s">
        <v>92</v>
      </c>
      <c r="G19" s="9" t="n">
        <f aca="false">'Master of Price'!$G$16</f>
        <v>75000</v>
      </c>
      <c r="H19" s="9" t="n">
        <f aca="false">E19*G19</f>
        <v>3000000</v>
      </c>
    </row>
    <row r="20" customFormat="false" ht="25.5" hidden="false" customHeight="true" outlineLevel="0" collapsed="false">
      <c r="B20" s="27" t="s">
        <v>562</v>
      </c>
      <c r="C20" s="27"/>
      <c r="D20" s="27"/>
      <c r="E20" s="27"/>
      <c r="F20" s="27"/>
      <c r="G20" s="27"/>
      <c r="H20" s="14" t="n">
        <f aca="false">H15+H16+H17+H18+H19</f>
        <v>24000000</v>
      </c>
    </row>
    <row r="22" customFormat="false" ht="21.75" hidden="false" customHeight="true" outlineLevel="0" collapsed="false">
      <c r="B22" s="19" t="s">
        <v>563</v>
      </c>
      <c r="C22" s="19"/>
      <c r="D22" s="19"/>
      <c r="E22" s="19"/>
      <c r="F22" s="19"/>
      <c r="G22" s="19"/>
      <c r="H22" s="19"/>
    </row>
    <row r="23" customFormat="false" ht="27.75" hidden="false" customHeight="true" outlineLevel="0" collapsed="false">
      <c r="B23" s="6" t="s">
        <v>16</v>
      </c>
      <c r="C23" s="6" t="s">
        <v>551</v>
      </c>
      <c r="D23" s="6" t="s">
        <v>552</v>
      </c>
      <c r="E23" s="6" t="s">
        <v>553</v>
      </c>
      <c r="F23" s="6" t="s">
        <v>87</v>
      </c>
      <c r="G23" s="6" t="s">
        <v>88</v>
      </c>
      <c r="H23" s="6" t="s">
        <v>554</v>
      </c>
    </row>
    <row r="24" customFormat="false" ht="21.75" hidden="false" customHeight="true" outlineLevel="0" collapsed="false">
      <c r="B24" s="29" t="s">
        <v>555</v>
      </c>
      <c r="C24" s="30" t="s">
        <v>564</v>
      </c>
      <c r="D24" s="31"/>
      <c r="E24" s="31"/>
      <c r="F24" s="31"/>
      <c r="G24" s="31"/>
      <c r="H24" s="31"/>
    </row>
    <row r="25" customFormat="false" ht="27.75" hidden="false" customHeight="true" outlineLevel="0" collapsed="false">
      <c r="B25" s="7" t="s">
        <v>557</v>
      </c>
      <c r="C25" s="20" t="s">
        <v>114</v>
      </c>
      <c r="D25" s="32" t="n">
        <v>5.07</v>
      </c>
      <c r="E25" s="32" t="n">
        <v>5.07</v>
      </c>
      <c r="F25" s="21" t="s">
        <v>112</v>
      </c>
      <c r="G25" s="9" t="n">
        <f aca="false">'Master of Price'!$G$22</f>
        <v>47500</v>
      </c>
      <c r="H25" s="9" t="n">
        <f aca="false">E25*G25</f>
        <v>240825</v>
      </c>
    </row>
    <row r="26" customFormat="false" ht="21.75" hidden="false" customHeight="true" outlineLevel="0" collapsed="false">
      <c r="B26" s="10" t="s">
        <v>558</v>
      </c>
      <c r="C26" s="33" t="s">
        <v>116</v>
      </c>
      <c r="D26" s="34" t="n">
        <v>0.39</v>
      </c>
      <c r="E26" s="34" t="n">
        <v>0.39</v>
      </c>
      <c r="F26" s="35" t="s">
        <v>112</v>
      </c>
      <c r="G26" s="12" t="n">
        <f aca="false">'Master of Price'!$G$23</f>
        <v>90000</v>
      </c>
      <c r="H26" s="12" t="n">
        <f aca="false">E26*G26</f>
        <v>35100</v>
      </c>
    </row>
    <row r="27" customFormat="false" ht="21.75" hidden="false" customHeight="true" outlineLevel="0" collapsed="false">
      <c r="B27" s="7" t="s">
        <v>559</v>
      </c>
      <c r="C27" s="20" t="s">
        <v>118</v>
      </c>
      <c r="D27" s="32" t="n">
        <v>0.08</v>
      </c>
      <c r="E27" s="32" t="n">
        <v>0.08</v>
      </c>
      <c r="F27" s="21" t="s">
        <v>112</v>
      </c>
      <c r="G27" s="9" t="n">
        <f aca="false">'Master of Price'!$G$24</f>
        <v>130000</v>
      </c>
      <c r="H27" s="9" t="n">
        <f aca="false">E27*G27</f>
        <v>10400</v>
      </c>
    </row>
    <row r="28" customFormat="false" ht="27.75" hidden="false" customHeight="true" outlineLevel="0" collapsed="false">
      <c r="B28" s="10" t="s">
        <v>560</v>
      </c>
      <c r="C28" s="33" t="s">
        <v>120</v>
      </c>
      <c r="D28" s="34" t="n">
        <v>3.9</v>
      </c>
      <c r="E28" s="34" t="n">
        <v>3.9</v>
      </c>
      <c r="F28" s="35" t="s">
        <v>112</v>
      </c>
      <c r="G28" s="12" t="n">
        <f aca="false">'Master of Price'!$G$25</f>
        <v>700000</v>
      </c>
      <c r="H28" s="12" t="n">
        <f aca="false">E28*G28</f>
        <v>2730000</v>
      </c>
    </row>
    <row r="29" customFormat="false" ht="36" hidden="false" customHeight="true" outlineLevel="0" collapsed="false">
      <c r="B29" s="7" t="s">
        <v>561</v>
      </c>
      <c r="C29" s="20" t="s">
        <v>122</v>
      </c>
      <c r="D29" s="32" t="n">
        <v>0.975</v>
      </c>
      <c r="E29" s="32" t="n">
        <v>0.975</v>
      </c>
      <c r="F29" s="21" t="s">
        <v>112</v>
      </c>
      <c r="G29" s="9" t="n">
        <f aca="false">'Master of Price'!$G$26</f>
        <v>1000000</v>
      </c>
      <c r="H29" s="9" t="n">
        <f aca="false">E29*G29</f>
        <v>975000</v>
      </c>
    </row>
    <row r="30" customFormat="false" ht="36" hidden="false" customHeight="true" outlineLevel="0" collapsed="false">
      <c r="B30" s="10" t="s">
        <v>579</v>
      </c>
      <c r="C30" s="33" t="s">
        <v>111</v>
      </c>
      <c r="D30" s="34" t="n">
        <v>0.1</v>
      </c>
      <c r="E30" s="34" t="n">
        <v>0.1</v>
      </c>
      <c r="F30" s="35" t="s">
        <v>112</v>
      </c>
      <c r="G30" s="12" t="n">
        <f aca="false">'Master of Price'!$G$21</f>
        <v>1000000</v>
      </c>
      <c r="H30" s="12" t="n">
        <f aca="false">E30*G30</f>
        <v>100000</v>
      </c>
    </row>
    <row r="31" customFormat="false" ht="25.5" hidden="false" customHeight="true" outlineLevel="0" collapsed="false">
      <c r="B31" s="27" t="s">
        <v>565</v>
      </c>
      <c r="C31" s="27"/>
      <c r="D31" s="27"/>
      <c r="E31" s="27"/>
      <c r="F31" s="27"/>
      <c r="G31" s="27"/>
      <c r="H31" s="14" t="n">
        <f aca="false">H25+H26+H27+H28+H29+H30</f>
        <v>4091325</v>
      </c>
    </row>
    <row r="33" customFormat="false" ht="21.75" hidden="false" customHeight="true" outlineLevel="0" collapsed="false">
      <c r="B33" s="19" t="s">
        <v>566</v>
      </c>
      <c r="C33" s="19"/>
      <c r="D33" s="19"/>
      <c r="E33" s="19"/>
      <c r="F33" s="19"/>
      <c r="G33" s="19"/>
      <c r="H33" s="19"/>
    </row>
    <row r="34" customFormat="false" ht="27.75" hidden="false" customHeight="true" outlineLevel="0" collapsed="false">
      <c r="B34" s="6" t="s">
        <v>16</v>
      </c>
      <c r="C34" s="6" t="s">
        <v>551</v>
      </c>
      <c r="D34" s="6" t="s">
        <v>552</v>
      </c>
      <c r="E34" s="6" t="s">
        <v>553</v>
      </c>
      <c r="F34" s="6" t="s">
        <v>87</v>
      </c>
      <c r="G34" s="6" t="s">
        <v>88</v>
      </c>
      <c r="H34" s="6" t="s">
        <v>554</v>
      </c>
    </row>
    <row r="35" customFormat="false" ht="21.75" hidden="false" customHeight="true" outlineLevel="0" collapsed="false">
      <c r="B35" s="29" t="s">
        <v>555</v>
      </c>
      <c r="C35" s="30" t="s">
        <v>580</v>
      </c>
      <c r="D35" s="31"/>
      <c r="E35" s="31"/>
      <c r="F35" s="31"/>
      <c r="G35" s="31"/>
      <c r="H35" s="31"/>
    </row>
    <row r="36" customFormat="false" ht="36" hidden="false" customHeight="true" outlineLevel="0" collapsed="false">
      <c r="B36" s="7" t="s">
        <v>557</v>
      </c>
      <c r="C36" s="20" t="s">
        <v>133</v>
      </c>
      <c r="D36" s="32" t="n">
        <v>1</v>
      </c>
      <c r="E36" s="32" t="n">
        <v>1</v>
      </c>
      <c r="F36" s="21" t="s">
        <v>128</v>
      </c>
      <c r="G36" s="9" t="n">
        <f aca="false">'Master of Price'!$G$30</f>
        <v>24000000</v>
      </c>
      <c r="H36" s="9" t="n">
        <f aca="false">E36*G36</f>
        <v>24000000</v>
      </c>
    </row>
    <row r="37" customFormat="false" ht="27.75" hidden="false" customHeight="true" outlineLevel="0" collapsed="false">
      <c r="B37" s="10" t="s">
        <v>558</v>
      </c>
      <c r="C37" s="33" t="s">
        <v>135</v>
      </c>
      <c r="D37" s="34" t="n">
        <v>1</v>
      </c>
      <c r="E37" s="34" t="n">
        <v>1</v>
      </c>
      <c r="F37" s="35" t="s">
        <v>131</v>
      </c>
      <c r="G37" s="12" t="n">
        <f aca="false">'Master of Price'!$G$31</f>
        <v>1500000</v>
      </c>
      <c r="H37" s="12" t="n">
        <f aca="false">E37*G37</f>
        <v>1500000</v>
      </c>
    </row>
    <row r="38" customFormat="false" ht="36" hidden="false" customHeight="true" outlineLevel="0" collapsed="false">
      <c r="B38" s="7" t="s">
        <v>559</v>
      </c>
      <c r="C38" s="20" t="s">
        <v>137</v>
      </c>
      <c r="D38" s="32" t="n">
        <v>5</v>
      </c>
      <c r="E38" s="32" t="n">
        <v>5</v>
      </c>
      <c r="F38" s="21" t="s">
        <v>128</v>
      </c>
      <c r="G38" s="9" t="n">
        <f aca="false">'Master of Price'!$G$32</f>
        <v>2100000</v>
      </c>
      <c r="H38" s="9" t="n">
        <f aca="false">E38*G38</f>
        <v>10500000</v>
      </c>
    </row>
    <row r="39" customFormat="false" ht="36" hidden="false" customHeight="true" outlineLevel="0" collapsed="false">
      <c r="B39" s="10" t="s">
        <v>560</v>
      </c>
      <c r="C39" s="33" t="s">
        <v>139</v>
      </c>
      <c r="D39" s="34" t="n">
        <v>1</v>
      </c>
      <c r="E39" s="34" t="n">
        <v>1</v>
      </c>
      <c r="F39" s="35" t="s">
        <v>140</v>
      </c>
      <c r="G39" s="12" t="n">
        <f aca="false">'Master of Price'!$G$33</f>
        <v>4500000</v>
      </c>
      <c r="H39" s="12" t="n">
        <f aca="false">E39*G39</f>
        <v>4500000</v>
      </c>
    </row>
    <row r="40" customFormat="false" ht="36" hidden="false" customHeight="true" outlineLevel="0" collapsed="false">
      <c r="B40" s="7" t="s">
        <v>561</v>
      </c>
      <c r="C40" s="20" t="s">
        <v>142</v>
      </c>
      <c r="D40" s="32" t="n">
        <v>1</v>
      </c>
      <c r="E40" s="32" t="n">
        <v>1</v>
      </c>
      <c r="F40" s="21" t="s">
        <v>131</v>
      </c>
      <c r="G40" s="9" t="n">
        <f aca="false">'Master of Price'!$G$34</f>
        <v>2500000</v>
      </c>
      <c r="H40" s="9" t="n">
        <f aca="false">E40*G40</f>
        <v>2500000</v>
      </c>
    </row>
    <row r="41" customFormat="false" ht="21.75" hidden="false" customHeight="true" outlineLevel="0" collapsed="false">
      <c r="B41" s="10" t="s">
        <v>579</v>
      </c>
      <c r="C41" s="33" t="s">
        <v>568</v>
      </c>
      <c r="D41" s="34" t="n">
        <v>1</v>
      </c>
      <c r="E41" s="34" t="n">
        <v>1</v>
      </c>
      <c r="F41" s="35" t="s">
        <v>131</v>
      </c>
      <c r="G41" s="12" t="n">
        <f aca="false">H45-(H20+H31+H36+H37+H38+H39+H40)</f>
        <v>4428496</v>
      </c>
      <c r="H41" s="12" t="n">
        <f aca="false">E41*G41</f>
        <v>4428496</v>
      </c>
    </row>
    <row r="42" customFormat="false" ht="25.5" hidden="false" customHeight="true" outlineLevel="0" collapsed="false">
      <c r="B42" s="27" t="s">
        <v>569</v>
      </c>
      <c r="C42" s="27"/>
      <c r="D42" s="27"/>
      <c r="E42" s="27"/>
      <c r="F42" s="27"/>
      <c r="G42" s="27"/>
      <c r="H42" s="14" t="n">
        <f aca="false">H36+H37+H38+H39+H40+H41</f>
        <v>47428496</v>
      </c>
    </row>
    <row r="44" customFormat="false" ht="27.75" hidden="false" customHeight="true" outlineLevel="0" collapsed="false">
      <c r="B44" s="13" t="s">
        <v>570</v>
      </c>
      <c r="C44" s="13"/>
      <c r="D44" s="13"/>
      <c r="E44" s="13"/>
      <c r="F44" s="13"/>
      <c r="G44" s="13"/>
      <c r="H44" s="15" t="n">
        <f aca="false">H20+H31+H42</f>
        <v>75519821</v>
      </c>
    </row>
    <row r="45" customFormat="false" ht="21.75" hidden="false" customHeight="true" outlineLevel="0" collapsed="false">
      <c r="B45" s="36" t="s">
        <v>571</v>
      </c>
      <c r="C45" s="36"/>
      <c r="D45" s="36"/>
      <c r="E45" s="36"/>
      <c r="F45" s="36"/>
      <c r="G45" s="36"/>
      <c r="H45" s="37" t="n">
        <f aca="false">RINGKASAN!$J$16</f>
        <v>75519821</v>
      </c>
    </row>
    <row r="46" customFormat="false" ht="21.75" hidden="false" customHeight="true" outlineLevel="0" collapsed="false">
      <c r="B46" s="38" t="s">
        <v>572</v>
      </c>
      <c r="C46" s="38"/>
      <c r="D46" s="38"/>
      <c r="E46" s="38"/>
      <c r="F46" s="38"/>
      <c r="G46" s="38"/>
      <c r="H46" s="9" t="n">
        <f aca="false">H44-H45</f>
        <v>0</v>
      </c>
    </row>
    <row r="47" customFormat="false" ht="21.75" hidden="false" customHeight="true" outlineLevel="0" collapsed="false">
      <c r="B47" s="39" t="s">
        <v>573</v>
      </c>
      <c r="C47" s="39"/>
      <c r="D47" s="39"/>
      <c r="E47" s="39"/>
      <c r="F47" s="39"/>
      <c r="G47" s="39"/>
      <c r="H47" s="10" t="str">
        <f aca="false">IF(H41&lt;0,"OVER BUDGET","OK")</f>
        <v>OK</v>
      </c>
    </row>
  </sheetData>
  <mergeCells count="21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2:H22"/>
    <mergeCell ref="D24:H24"/>
    <mergeCell ref="B31:G31"/>
    <mergeCell ref="B33:H33"/>
    <mergeCell ref="D35:H35"/>
    <mergeCell ref="B42:G42"/>
    <mergeCell ref="B44:G44"/>
    <mergeCell ref="B45:G45"/>
    <mergeCell ref="B46:G46"/>
    <mergeCell ref="B47:G47"/>
  </mergeCells>
  <conditionalFormatting sqref="H4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</cols>
  <sheetData>
    <row r="1" customFormat="false" ht="15" hidden="false" customHeight="false" outlineLevel="0" collapsed="false"/>
    <row r="2" customFormat="false" ht="31.5" hidden="false" customHeight="true" outlineLevel="0" collapsed="false">
      <c r="B2" s="2" t="s">
        <v>581</v>
      </c>
      <c r="C2" s="2"/>
      <c r="D2" s="2"/>
      <c r="E2" s="2"/>
      <c r="F2" s="2"/>
      <c r="G2" s="2"/>
      <c r="H2" s="2"/>
    </row>
    <row r="3" customFormat="false" ht="7.5" hidden="false" customHeight="true" outlineLevel="0" collapsed="false"/>
    <row r="4" customFormat="false" ht="19.5" hidden="false" customHeight="true" outlineLevel="0" collapsed="false">
      <c r="B4" s="3" t="s">
        <v>542</v>
      </c>
      <c r="C4" s="4" t="s">
        <v>575</v>
      </c>
      <c r="D4" s="4"/>
      <c r="E4" s="4"/>
      <c r="F4" s="4"/>
      <c r="G4" s="4"/>
      <c r="H4" s="4"/>
    </row>
    <row r="5" customFormat="false" ht="19.5" hidden="false" customHeight="true" outlineLevel="0" collapsed="false">
      <c r="B5" s="3" t="s">
        <v>544</v>
      </c>
      <c r="C5" s="4" t="s">
        <v>582</v>
      </c>
      <c r="D5" s="4"/>
      <c r="E5" s="4"/>
      <c r="F5" s="4"/>
      <c r="G5" s="4"/>
      <c r="H5" s="4"/>
    </row>
    <row r="6" customFormat="false" ht="19.5" hidden="false" customHeight="true" outlineLevel="0" collapsed="false">
      <c r="B6" s="3" t="s">
        <v>18</v>
      </c>
      <c r="C6" s="4" t="s">
        <v>583</v>
      </c>
      <c r="D6" s="4"/>
      <c r="E6" s="4"/>
      <c r="F6" s="4"/>
      <c r="G6" s="4"/>
      <c r="H6" s="4"/>
    </row>
    <row r="7" customFormat="false" ht="19.5" hidden="false" customHeight="true" outlineLevel="0" collapsed="false">
      <c r="B7" s="3" t="s">
        <v>547</v>
      </c>
      <c r="C7" s="4" t="s">
        <v>578</v>
      </c>
      <c r="D7" s="4"/>
      <c r="E7" s="4"/>
      <c r="F7" s="4"/>
      <c r="G7" s="4"/>
      <c r="H7" s="4"/>
    </row>
    <row r="8" customFormat="false" ht="19.5" hidden="false" customHeight="true" outlineLevel="0" collapsed="false">
      <c r="B8" s="3" t="s">
        <v>549</v>
      </c>
      <c r="C8" s="28" t="n">
        <f aca="false">RINGKASAN!$J$17</f>
        <v>20011142</v>
      </c>
      <c r="D8" s="28"/>
      <c r="E8" s="28"/>
      <c r="F8" s="28"/>
      <c r="G8" s="28"/>
      <c r="H8" s="28"/>
    </row>
    <row r="9" customFormat="false" ht="19.5" hidden="false" customHeight="true" outlineLevel="0" collapsed="false">
      <c r="B9" s="3" t="s">
        <v>79</v>
      </c>
      <c r="C9" s="4" t="s">
        <v>80</v>
      </c>
      <c r="D9" s="4"/>
      <c r="E9" s="4"/>
      <c r="F9" s="4"/>
      <c r="G9" s="4"/>
      <c r="H9" s="4"/>
    </row>
    <row r="10" customFormat="false" ht="19.5" hidden="false" customHeight="true" outlineLevel="0" collapsed="false">
      <c r="B10" s="3" t="s">
        <v>9</v>
      </c>
      <c r="C10" s="4" t="s">
        <v>10</v>
      </c>
      <c r="D10" s="4"/>
      <c r="E10" s="4"/>
      <c r="F10" s="4"/>
      <c r="G10" s="4"/>
      <c r="H10" s="4"/>
    </row>
    <row r="12" customFormat="false" ht="21.75" hidden="false" customHeight="true" outlineLevel="0" collapsed="false">
      <c r="B12" s="19" t="s">
        <v>550</v>
      </c>
      <c r="C12" s="19"/>
      <c r="D12" s="19"/>
      <c r="E12" s="19"/>
      <c r="F12" s="19"/>
      <c r="G12" s="19"/>
      <c r="H12" s="19"/>
    </row>
    <row r="13" customFormat="false" ht="27.75" hidden="false" customHeight="true" outlineLevel="0" collapsed="false">
      <c r="B13" s="6" t="s">
        <v>16</v>
      </c>
      <c r="C13" s="6" t="s">
        <v>551</v>
      </c>
      <c r="D13" s="6" t="s">
        <v>552</v>
      </c>
      <c r="E13" s="6" t="s">
        <v>553</v>
      </c>
      <c r="F13" s="6" t="s">
        <v>87</v>
      </c>
      <c r="G13" s="6" t="s">
        <v>88</v>
      </c>
      <c r="H13" s="6" t="s">
        <v>554</v>
      </c>
    </row>
    <row r="14" customFormat="false" ht="21.75" hidden="false" customHeight="true" outlineLevel="0" collapsed="false">
      <c r="B14" s="29" t="s">
        <v>555</v>
      </c>
      <c r="C14" s="30" t="s">
        <v>556</v>
      </c>
      <c r="D14" s="31"/>
      <c r="E14" s="31"/>
      <c r="F14" s="31"/>
      <c r="G14" s="31"/>
      <c r="H14" s="31"/>
    </row>
    <row r="15" customFormat="false" ht="36" hidden="false" customHeight="true" outlineLevel="0" collapsed="false">
      <c r="B15" s="7" t="s">
        <v>557</v>
      </c>
      <c r="C15" s="20" t="s">
        <v>91</v>
      </c>
      <c r="D15" s="32" t="n">
        <v>40</v>
      </c>
      <c r="E15" s="32" t="n">
        <v>40</v>
      </c>
      <c r="F15" s="21" t="s">
        <v>92</v>
      </c>
      <c r="G15" s="9" t="n">
        <f aca="false">'Master of Price'!$G$12</f>
        <v>352000</v>
      </c>
      <c r="H15" s="9" t="n">
        <f aca="false">E15*G15</f>
        <v>14080000</v>
      </c>
    </row>
    <row r="16" customFormat="false" ht="27.75" hidden="false" customHeight="true" outlineLevel="0" collapsed="false">
      <c r="B16" s="10" t="s">
        <v>558</v>
      </c>
      <c r="C16" s="33" t="s">
        <v>94</v>
      </c>
      <c r="D16" s="34" t="n">
        <v>40</v>
      </c>
      <c r="E16" s="34" t="n">
        <v>40</v>
      </c>
      <c r="F16" s="35" t="s">
        <v>92</v>
      </c>
      <c r="G16" s="12" t="n">
        <f aca="false">'Master of Price'!$G$13</f>
        <v>100000</v>
      </c>
      <c r="H16" s="12" t="n">
        <f aca="false">E16*G16</f>
        <v>4000000</v>
      </c>
    </row>
    <row r="17" customFormat="false" ht="27.75" hidden="false" customHeight="true" outlineLevel="0" collapsed="false">
      <c r="B17" s="7" t="s">
        <v>559</v>
      </c>
      <c r="C17" s="20" t="s">
        <v>96</v>
      </c>
      <c r="D17" s="32" t="n">
        <v>40</v>
      </c>
      <c r="E17" s="32" t="n">
        <v>40</v>
      </c>
      <c r="F17" s="21" t="s">
        <v>92</v>
      </c>
      <c r="G17" s="9" t="n">
        <f aca="false">'Master of Price'!$G$14</f>
        <v>28000</v>
      </c>
      <c r="H17" s="9" t="n">
        <f aca="false">E17*G17</f>
        <v>1120000</v>
      </c>
    </row>
    <row r="18" customFormat="false" ht="27.75" hidden="false" customHeight="true" outlineLevel="0" collapsed="false">
      <c r="B18" s="10" t="s">
        <v>560</v>
      </c>
      <c r="C18" s="33" t="s">
        <v>98</v>
      </c>
      <c r="D18" s="34" t="n">
        <v>40</v>
      </c>
      <c r="E18" s="34" t="n">
        <v>40</v>
      </c>
      <c r="F18" s="35" t="s">
        <v>92</v>
      </c>
      <c r="G18" s="12" t="n">
        <f aca="false">'Master of Price'!$G$15</f>
        <v>45000</v>
      </c>
      <c r="H18" s="12" t="n">
        <f aca="false">E18*G18</f>
        <v>1800000</v>
      </c>
    </row>
    <row r="19" customFormat="false" ht="27.75" hidden="false" customHeight="true" outlineLevel="0" collapsed="false">
      <c r="B19" s="7" t="s">
        <v>561</v>
      </c>
      <c r="C19" s="20" t="s">
        <v>100</v>
      </c>
      <c r="D19" s="32" t="n">
        <v>40</v>
      </c>
      <c r="E19" s="32" t="n">
        <v>40</v>
      </c>
      <c r="F19" s="21" t="s">
        <v>92</v>
      </c>
      <c r="G19" s="9" t="n">
        <f aca="false">'Master of Price'!$G$16</f>
        <v>75000</v>
      </c>
      <c r="H19" s="9" t="n">
        <f aca="false">E19*G19</f>
        <v>3000000</v>
      </c>
    </row>
    <row r="20" customFormat="false" ht="25.5" hidden="false" customHeight="true" outlineLevel="0" collapsed="false">
      <c r="B20" s="27" t="s">
        <v>562</v>
      </c>
      <c r="C20" s="27"/>
      <c r="D20" s="27"/>
      <c r="E20" s="27"/>
      <c r="F20" s="27"/>
      <c r="G20" s="27"/>
      <c r="H20" s="14" t="n">
        <f aca="false">H15+H16+H17+H18+H19</f>
        <v>24000000</v>
      </c>
    </row>
    <row r="22" customFormat="false" ht="21.75" hidden="false" customHeight="true" outlineLevel="0" collapsed="false">
      <c r="B22" s="19" t="s">
        <v>563</v>
      </c>
      <c r="C22" s="19"/>
      <c r="D22" s="19"/>
      <c r="E22" s="19"/>
      <c r="F22" s="19"/>
      <c r="G22" s="19"/>
      <c r="H22" s="19"/>
    </row>
    <row r="23" customFormat="false" ht="27.75" hidden="false" customHeight="true" outlineLevel="0" collapsed="false">
      <c r="B23" s="6" t="s">
        <v>16</v>
      </c>
      <c r="C23" s="6" t="s">
        <v>551</v>
      </c>
      <c r="D23" s="6" t="s">
        <v>552</v>
      </c>
      <c r="E23" s="6" t="s">
        <v>553</v>
      </c>
      <c r="F23" s="6" t="s">
        <v>87</v>
      </c>
      <c r="G23" s="6" t="s">
        <v>88</v>
      </c>
      <c r="H23" s="6" t="s">
        <v>554</v>
      </c>
    </row>
    <row r="24" customFormat="false" ht="21.75" hidden="false" customHeight="true" outlineLevel="0" collapsed="false">
      <c r="B24" s="29" t="s">
        <v>555</v>
      </c>
      <c r="C24" s="30" t="s">
        <v>584</v>
      </c>
      <c r="D24" s="31"/>
      <c r="E24" s="31"/>
      <c r="F24" s="31"/>
      <c r="G24" s="31"/>
      <c r="H24" s="31"/>
    </row>
    <row r="25" customFormat="false" ht="36" hidden="false" customHeight="true" outlineLevel="0" collapsed="false">
      <c r="B25" s="7" t="s">
        <v>557</v>
      </c>
      <c r="C25" s="20" t="s">
        <v>111</v>
      </c>
      <c r="D25" s="32" t="n">
        <v>0.1</v>
      </c>
      <c r="E25" s="32" t="n">
        <v>0.1</v>
      </c>
      <c r="F25" s="21" t="s">
        <v>112</v>
      </c>
      <c r="G25" s="9" t="n">
        <f aca="false">'Master of Price'!$G$21</f>
        <v>1000000</v>
      </c>
      <c r="H25" s="9" t="n">
        <f aca="false">E25*G25</f>
        <v>100000</v>
      </c>
    </row>
    <row r="26" customFormat="false" ht="25.5" hidden="false" customHeight="true" outlineLevel="0" collapsed="false">
      <c r="B26" s="27" t="s">
        <v>565</v>
      </c>
      <c r="C26" s="27"/>
      <c r="D26" s="27"/>
      <c r="E26" s="27"/>
      <c r="F26" s="27"/>
      <c r="G26" s="27"/>
      <c r="H26" s="14" t="n">
        <f aca="false">H25</f>
        <v>100000</v>
      </c>
    </row>
    <row r="28" customFormat="false" ht="21.75" hidden="false" customHeight="true" outlineLevel="0" collapsed="false">
      <c r="B28" s="19" t="s">
        <v>566</v>
      </c>
      <c r="C28" s="19"/>
      <c r="D28" s="19"/>
      <c r="E28" s="19"/>
      <c r="F28" s="19"/>
      <c r="G28" s="19"/>
      <c r="H28" s="19"/>
    </row>
    <row r="29" customFormat="false" ht="27.75" hidden="false" customHeight="true" outlineLevel="0" collapsed="false">
      <c r="B29" s="6" t="s">
        <v>16</v>
      </c>
      <c r="C29" s="6" t="s">
        <v>551</v>
      </c>
      <c r="D29" s="6" t="s">
        <v>552</v>
      </c>
      <c r="E29" s="6" t="s">
        <v>553</v>
      </c>
      <c r="F29" s="6" t="s">
        <v>87</v>
      </c>
      <c r="G29" s="6" t="s">
        <v>88</v>
      </c>
      <c r="H29" s="6" t="s">
        <v>554</v>
      </c>
    </row>
    <row r="30" customFormat="false" ht="21.75" hidden="false" customHeight="true" outlineLevel="0" collapsed="false">
      <c r="B30" s="29" t="s">
        <v>555</v>
      </c>
      <c r="C30" s="30" t="s">
        <v>585</v>
      </c>
      <c r="D30" s="31"/>
      <c r="E30" s="31"/>
      <c r="F30" s="31"/>
      <c r="G30" s="31"/>
      <c r="H30" s="31"/>
    </row>
    <row r="31" customFormat="false" ht="36" hidden="false" customHeight="true" outlineLevel="0" collapsed="false">
      <c r="B31" s="7" t="s">
        <v>557</v>
      </c>
      <c r="C31" s="20" t="s">
        <v>144</v>
      </c>
      <c r="D31" s="32" t="n">
        <v>1</v>
      </c>
      <c r="E31" s="32" t="n">
        <v>1</v>
      </c>
      <c r="F31" s="21" t="s">
        <v>128</v>
      </c>
      <c r="G31" s="9" t="n">
        <f aca="false">'Master of Price'!$G$35</f>
        <v>5000000</v>
      </c>
      <c r="H31" s="9" t="n">
        <f aca="false">E31*G31</f>
        <v>5000000</v>
      </c>
    </row>
    <row r="32" customFormat="false" ht="36" hidden="false" customHeight="true" outlineLevel="0" collapsed="false">
      <c r="B32" s="10" t="s">
        <v>558</v>
      </c>
      <c r="C32" s="33" t="s">
        <v>146</v>
      </c>
      <c r="D32" s="34" t="n">
        <v>1</v>
      </c>
      <c r="E32" s="34" t="n">
        <v>1</v>
      </c>
      <c r="F32" s="35" t="s">
        <v>131</v>
      </c>
      <c r="G32" s="12" t="n">
        <f aca="false">'Master of Price'!$G$36</f>
        <v>1500000</v>
      </c>
      <c r="H32" s="12" t="n">
        <f aca="false">E32*G32</f>
        <v>1500000</v>
      </c>
    </row>
    <row r="33" customFormat="false" ht="27.75" hidden="false" customHeight="true" outlineLevel="0" collapsed="false">
      <c r="B33" s="7" t="s">
        <v>559</v>
      </c>
      <c r="C33" s="20" t="s">
        <v>148</v>
      </c>
      <c r="D33" s="32" t="n">
        <v>1</v>
      </c>
      <c r="E33" s="32" t="n">
        <v>1</v>
      </c>
      <c r="F33" s="21" t="s">
        <v>131</v>
      </c>
      <c r="G33" s="9" t="n">
        <f aca="false">'Master of Price'!$G$37</f>
        <v>500000</v>
      </c>
      <c r="H33" s="9" t="n">
        <f aca="false">E33*G33</f>
        <v>500000</v>
      </c>
    </row>
    <row r="34" customFormat="false" ht="21.75" hidden="false" customHeight="true" outlineLevel="0" collapsed="false">
      <c r="B34" s="10" t="s">
        <v>560</v>
      </c>
      <c r="C34" s="33" t="s">
        <v>568</v>
      </c>
      <c r="D34" s="34" t="n">
        <v>1</v>
      </c>
      <c r="E34" s="34" t="n">
        <v>1</v>
      </c>
      <c r="F34" s="35" t="s">
        <v>131</v>
      </c>
      <c r="G34" s="12" t="n">
        <f aca="false">H38-(H20+H26+H31+H32+H33)</f>
        <v>-11088858</v>
      </c>
      <c r="H34" s="12" t="n">
        <f aca="false">E34*G34</f>
        <v>-11088858</v>
      </c>
    </row>
    <row r="35" customFormat="false" ht="25.5" hidden="false" customHeight="true" outlineLevel="0" collapsed="false">
      <c r="B35" s="27" t="s">
        <v>569</v>
      </c>
      <c r="C35" s="27"/>
      <c r="D35" s="27"/>
      <c r="E35" s="27"/>
      <c r="F35" s="27"/>
      <c r="G35" s="27"/>
      <c r="H35" s="14" t="n">
        <f aca="false">H31+H32+H33+H34</f>
        <v>-4088858</v>
      </c>
    </row>
    <row r="37" customFormat="false" ht="27.75" hidden="false" customHeight="true" outlineLevel="0" collapsed="false">
      <c r="B37" s="13" t="s">
        <v>570</v>
      </c>
      <c r="C37" s="13"/>
      <c r="D37" s="13"/>
      <c r="E37" s="13"/>
      <c r="F37" s="13"/>
      <c r="G37" s="13"/>
      <c r="H37" s="15" t="n">
        <f aca="false">H20+H26+H35</f>
        <v>20011142</v>
      </c>
    </row>
    <row r="38" customFormat="false" ht="21.75" hidden="false" customHeight="true" outlineLevel="0" collapsed="false">
      <c r="B38" s="36" t="s">
        <v>571</v>
      </c>
      <c r="C38" s="36"/>
      <c r="D38" s="36"/>
      <c r="E38" s="36"/>
      <c r="F38" s="36"/>
      <c r="G38" s="36"/>
      <c r="H38" s="37" t="n">
        <f aca="false">RINGKASAN!$J$17</f>
        <v>20011142</v>
      </c>
    </row>
    <row r="39" customFormat="false" ht="21.75" hidden="false" customHeight="true" outlineLevel="0" collapsed="false">
      <c r="B39" s="38" t="s">
        <v>572</v>
      </c>
      <c r="C39" s="38"/>
      <c r="D39" s="38"/>
      <c r="E39" s="38"/>
      <c r="F39" s="38"/>
      <c r="G39" s="38"/>
      <c r="H39" s="9" t="n">
        <f aca="false">H37-H38</f>
        <v>0</v>
      </c>
    </row>
    <row r="40" customFormat="false" ht="21.75" hidden="false" customHeight="true" outlineLevel="0" collapsed="false">
      <c r="B40" s="39" t="s">
        <v>573</v>
      </c>
      <c r="C40" s="39"/>
      <c r="D40" s="39"/>
      <c r="E40" s="39"/>
      <c r="F40" s="39"/>
      <c r="G40" s="39"/>
      <c r="H40" s="10" t="str">
        <f aca="false">IF(H34&lt;0,"OVER BUDGET","OK")</f>
        <v>OVER BUDGET</v>
      </c>
    </row>
  </sheetData>
  <mergeCells count="21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2:H22"/>
    <mergeCell ref="D24:H24"/>
    <mergeCell ref="B26:G26"/>
    <mergeCell ref="B28:H28"/>
    <mergeCell ref="D30:H30"/>
    <mergeCell ref="B35:G35"/>
    <mergeCell ref="B37:G37"/>
    <mergeCell ref="B38:G38"/>
    <mergeCell ref="B39:G39"/>
    <mergeCell ref="B40:G40"/>
  </mergeCells>
  <conditionalFormatting sqref="H40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</cols>
  <sheetData>
    <row r="1" customFormat="false" ht="15" hidden="false" customHeight="false" outlineLevel="0" collapsed="false"/>
    <row r="2" customFormat="false" ht="31.5" hidden="false" customHeight="true" outlineLevel="0" collapsed="false">
      <c r="B2" s="2" t="s">
        <v>586</v>
      </c>
      <c r="C2" s="2"/>
      <c r="D2" s="2"/>
      <c r="E2" s="2"/>
      <c r="F2" s="2"/>
      <c r="G2" s="2"/>
      <c r="H2" s="2"/>
    </row>
    <row r="3" customFormat="false" ht="7.5" hidden="false" customHeight="true" outlineLevel="0" collapsed="false"/>
    <row r="4" customFormat="false" ht="19.5" hidden="false" customHeight="true" outlineLevel="0" collapsed="false">
      <c r="B4" s="3" t="s">
        <v>542</v>
      </c>
      <c r="C4" s="4" t="s">
        <v>587</v>
      </c>
      <c r="D4" s="4"/>
      <c r="E4" s="4"/>
      <c r="F4" s="4"/>
      <c r="G4" s="4"/>
      <c r="H4" s="4"/>
    </row>
    <row r="5" customFormat="false" ht="19.5" hidden="false" customHeight="true" outlineLevel="0" collapsed="false">
      <c r="B5" s="3" t="s">
        <v>544</v>
      </c>
      <c r="C5" s="4" t="s">
        <v>588</v>
      </c>
      <c r="D5" s="4"/>
      <c r="E5" s="4"/>
      <c r="F5" s="4"/>
      <c r="G5" s="4"/>
      <c r="H5" s="4"/>
    </row>
    <row r="6" customFormat="false" ht="19.5" hidden="false" customHeight="true" outlineLevel="0" collapsed="false">
      <c r="B6" s="3" t="s">
        <v>18</v>
      </c>
      <c r="C6" s="4" t="s">
        <v>577</v>
      </c>
      <c r="D6" s="4"/>
      <c r="E6" s="4"/>
      <c r="F6" s="4"/>
      <c r="G6" s="4"/>
      <c r="H6" s="4"/>
    </row>
    <row r="7" customFormat="false" ht="19.5" hidden="false" customHeight="true" outlineLevel="0" collapsed="false">
      <c r="B7" s="3" t="s">
        <v>547</v>
      </c>
      <c r="C7" s="4" t="s">
        <v>589</v>
      </c>
      <c r="D7" s="4"/>
      <c r="E7" s="4"/>
      <c r="F7" s="4"/>
      <c r="G7" s="4"/>
      <c r="H7" s="4"/>
    </row>
    <row r="8" customFormat="false" ht="19.5" hidden="false" customHeight="true" outlineLevel="0" collapsed="false">
      <c r="B8" s="3" t="s">
        <v>549</v>
      </c>
      <c r="C8" s="28" t="n">
        <f aca="false">RINGKASAN!$J$18</f>
        <v>71546115</v>
      </c>
      <c r="D8" s="28"/>
      <c r="E8" s="28"/>
      <c r="F8" s="28"/>
      <c r="G8" s="28"/>
      <c r="H8" s="28"/>
    </row>
    <row r="9" customFormat="false" ht="19.5" hidden="false" customHeight="true" outlineLevel="0" collapsed="false">
      <c r="B9" s="3" t="s">
        <v>79</v>
      </c>
      <c r="C9" s="4" t="s">
        <v>80</v>
      </c>
      <c r="D9" s="4"/>
      <c r="E9" s="4"/>
      <c r="F9" s="4"/>
      <c r="G9" s="4"/>
      <c r="H9" s="4"/>
    </row>
    <row r="10" customFormat="false" ht="19.5" hidden="false" customHeight="true" outlineLevel="0" collapsed="false">
      <c r="B10" s="3" t="s">
        <v>9</v>
      </c>
      <c r="C10" s="4" t="s">
        <v>10</v>
      </c>
      <c r="D10" s="4"/>
      <c r="E10" s="4"/>
      <c r="F10" s="4"/>
      <c r="G10" s="4"/>
      <c r="H10" s="4"/>
    </row>
    <row r="12" customFormat="false" ht="21.75" hidden="false" customHeight="true" outlineLevel="0" collapsed="false">
      <c r="B12" s="19" t="s">
        <v>550</v>
      </c>
      <c r="C12" s="19"/>
      <c r="D12" s="19"/>
      <c r="E12" s="19"/>
      <c r="F12" s="19"/>
      <c r="G12" s="19"/>
      <c r="H12" s="19"/>
    </row>
    <row r="13" customFormat="false" ht="27.75" hidden="false" customHeight="true" outlineLevel="0" collapsed="false">
      <c r="B13" s="6" t="s">
        <v>16</v>
      </c>
      <c r="C13" s="6" t="s">
        <v>551</v>
      </c>
      <c r="D13" s="6" t="s">
        <v>552</v>
      </c>
      <c r="E13" s="6" t="s">
        <v>553</v>
      </c>
      <c r="F13" s="6" t="s">
        <v>87</v>
      </c>
      <c r="G13" s="6" t="s">
        <v>88</v>
      </c>
      <c r="H13" s="6" t="s">
        <v>554</v>
      </c>
    </row>
    <row r="14" customFormat="false" ht="21.75" hidden="false" customHeight="true" outlineLevel="0" collapsed="false">
      <c r="B14" s="29" t="s">
        <v>555</v>
      </c>
      <c r="C14" s="30" t="s">
        <v>556</v>
      </c>
      <c r="D14" s="31"/>
      <c r="E14" s="31"/>
      <c r="F14" s="31"/>
      <c r="G14" s="31"/>
      <c r="H14" s="31"/>
    </row>
    <row r="15" customFormat="false" ht="36" hidden="false" customHeight="true" outlineLevel="0" collapsed="false">
      <c r="B15" s="7" t="s">
        <v>557</v>
      </c>
      <c r="C15" s="20" t="s">
        <v>102</v>
      </c>
      <c r="D15" s="32" t="n">
        <v>25</v>
      </c>
      <c r="E15" s="32" t="n">
        <v>25</v>
      </c>
      <c r="F15" s="21" t="s">
        <v>92</v>
      </c>
      <c r="G15" s="9" t="n">
        <f aca="false">'Master of Price'!$G$17</f>
        <v>352000</v>
      </c>
      <c r="H15" s="9" t="n">
        <f aca="false">E15*G15</f>
        <v>8800000</v>
      </c>
    </row>
    <row r="16" customFormat="false" ht="27.75" hidden="false" customHeight="true" outlineLevel="0" collapsed="false">
      <c r="B16" s="10" t="s">
        <v>558</v>
      </c>
      <c r="C16" s="33" t="s">
        <v>94</v>
      </c>
      <c r="D16" s="34" t="n">
        <v>25</v>
      </c>
      <c r="E16" s="34" t="n">
        <v>25</v>
      </c>
      <c r="F16" s="35" t="s">
        <v>92</v>
      </c>
      <c r="G16" s="12" t="n">
        <f aca="false">'Master of Price'!$G$13</f>
        <v>100000</v>
      </c>
      <c r="H16" s="12" t="n">
        <f aca="false">E16*G16</f>
        <v>2500000</v>
      </c>
    </row>
    <row r="17" customFormat="false" ht="27.75" hidden="false" customHeight="true" outlineLevel="0" collapsed="false">
      <c r="B17" s="7" t="s">
        <v>559</v>
      </c>
      <c r="C17" s="20" t="s">
        <v>96</v>
      </c>
      <c r="D17" s="32" t="n">
        <v>25</v>
      </c>
      <c r="E17" s="32" t="n">
        <v>25</v>
      </c>
      <c r="F17" s="21" t="s">
        <v>92</v>
      </c>
      <c r="G17" s="9" t="n">
        <f aca="false">'Master of Price'!$G$14</f>
        <v>28000</v>
      </c>
      <c r="H17" s="9" t="n">
        <f aca="false">E17*G17</f>
        <v>700000</v>
      </c>
    </row>
    <row r="18" customFormat="false" ht="27.75" hidden="false" customHeight="true" outlineLevel="0" collapsed="false">
      <c r="B18" s="10" t="s">
        <v>560</v>
      </c>
      <c r="C18" s="33" t="s">
        <v>98</v>
      </c>
      <c r="D18" s="34" t="n">
        <v>25</v>
      </c>
      <c r="E18" s="34" t="n">
        <v>25</v>
      </c>
      <c r="F18" s="35" t="s">
        <v>92</v>
      </c>
      <c r="G18" s="12" t="n">
        <f aca="false">'Master of Price'!$G$15</f>
        <v>45000</v>
      </c>
      <c r="H18" s="12" t="n">
        <f aca="false">E18*G18</f>
        <v>1125000</v>
      </c>
    </row>
    <row r="19" customFormat="false" ht="27.75" hidden="false" customHeight="true" outlineLevel="0" collapsed="false">
      <c r="B19" s="7" t="s">
        <v>561</v>
      </c>
      <c r="C19" s="20" t="s">
        <v>100</v>
      </c>
      <c r="D19" s="32" t="n">
        <v>25</v>
      </c>
      <c r="E19" s="32" t="n">
        <v>25</v>
      </c>
      <c r="F19" s="21" t="s">
        <v>92</v>
      </c>
      <c r="G19" s="9" t="n">
        <f aca="false">'Master of Price'!$G$16</f>
        <v>75000</v>
      </c>
      <c r="H19" s="9" t="n">
        <f aca="false">E19*G19</f>
        <v>1875000</v>
      </c>
    </row>
    <row r="20" customFormat="false" ht="25.5" hidden="false" customHeight="true" outlineLevel="0" collapsed="false">
      <c r="B20" s="27" t="s">
        <v>562</v>
      </c>
      <c r="C20" s="27"/>
      <c r="D20" s="27"/>
      <c r="E20" s="27"/>
      <c r="F20" s="27"/>
      <c r="G20" s="27"/>
      <c r="H20" s="14" t="n">
        <f aca="false">H15+H16+H17+H18+H19</f>
        <v>15000000</v>
      </c>
    </row>
    <row r="22" customFormat="false" ht="21.75" hidden="false" customHeight="true" outlineLevel="0" collapsed="false">
      <c r="B22" s="19" t="s">
        <v>563</v>
      </c>
      <c r="C22" s="19"/>
      <c r="D22" s="19"/>
      <c r="E22" s="19"/>
      <c r="F22" s="19"/>
      <c r="G22" s="19"/>
      <c r="H22" s="19"/>
    </row>
    <row r="23" customFormat="false" ht="27.75" hidden="false" customHeight="true" outlineLevel="0" collapsed="false">
      <c r="B23" s="6" t="s">
        <v>16</v>
      </c>
      <c r="C23" s="6" t="s">
        <v>551</v>
      </c>
      <c r="D23" s="6" t="s">
        <v>552</v>
      </c>
      <c r="E23" s="6" t="s">
        <v>553</v>
      </c>
      <c r="F23" s="6" t="s">
        <v>87</v>
      </c>
      <c r="G23" s="6" t="s">
        <v>88</v>
      </c>
      <c r="H23" s="6" t="s">
        <v>554</v>
      </c>
    </row>
    <row r="24" customFormat="false" ht="21.75" hidden="false" customHeight="true" outlineLevel="0" collapsed="false">
      <c r="B24" s="29" t="s">
        <v>555</v>
      </c>
      <c r="C24" s="30" t="s">
        <v>564</v>
      </c>
      <c r="D24" s="31"/>
      <c r="E24" s="31"/>
      <c r="F24" s="31"/>
      <c r="G24" s="31"/>
      <c r="H24" s="31"/>
    </row>
    <row r="25" customFormat="false" ht="27.75" hidden="false" customHeight="true" outlineLevel="0" collapsed="false">
      <c r="B25" s="7" t="s">
        <v>557</v>
      </c>
      <c r="C25" s="20" t="s">
        <v>114</v>
      </c>
      <c r="D25" s="32" t="n">
        <v>5.07</v>
      </c>
      <c r="E25" s="32" t="n">
        <v>5.07</v>
      </c>
      <c r="F25" s="21" t="s">
        <v>112</v>
      </c>
      <c r="G25" s="9" t="n">
        <f aca="false">'Master of Price'!$G$22</f>
        <v>47500</v>
      </c>
      <c r="H25" s="9" t="n">
        <f aca="false">E25*G25</f>
        <v>240825</v>
      </c>
    </row>
    <row r="26" customFormat="false" ht="21.75" hidden="false" customHeight="true" outlineLevel="0" collapsed="false">
      <c r="B26" s="10" t="s">
        <v>558</v>
      </c>
      <c r="C26" s="33" t="s">
        <v>116</v>
      </c>
      <c r="D26" s="34" t="n">
        <v>0.39</v>
      </c>
      <c r="E26" s="34" t="n">
        <v>0.39</v>
      </c>
      <c r="F26" s="35" t="s">
        <v>112</v>
      </c>
      <c r="G26" s="12" t="n">
        <f aca="false">'Master of Price'!$G$23</f>
        <v>90000</v>
      </c>
      <c r="H26" s="12" t="n">
        <f aca="false">E26*G26</f>
        <v>35100</v>
      </c>
    </row>
    <row r="27" customFormat="false" ht="21.75" hidden="false" customHeight="true" outlineLevel="0" collapsed="false">
      <c r="B27" s="7" t="s">
        <v>559</v>
      </c>
      <c r="C27" s="20" t="s">
        <v>118</v>
      </c>
      <c r="D27" s="32" t="n">
        <v>0.08</v>
      </c>
      <c r="E27" s="32" t="n">
        <v>0.08</v>
      </c>
      <c r="F27" s="21" t="s">
        <v>112</v>
      </c>
      <c r="G27" s="9" t="n">
        <f aca="false">'Master of Price'!$G$24</f>
        <v>130000</v>
      </c>
      <c r="H27" s="9" t="n">
        <f aca="false">E27*G27</f>
        <v>10400</v>
      </c>
    </row>
    <row r="28" customFormat="false" ht="27.75" hidden="false" customHeight="true" outlineLevel="0" collapsed="false">
      <c r="B28" s="10" t="s">
        <v>560</v>
      </c>
      <c r="C28" s="33" t="s">
        <v>120</v>
      </c>
      <c r="D28" s="34" t="n">
        <v>3.9</v>
      </c>
      <c r="E28" s="34" t="n">
        <v>3.9</v>
      </c>
      <c r="F28" s="35" t="s">
        <v>112</v>
      </c>
      <c r="G28" s="12" t="n">
        <f aca="false">'Master of Price'!$G$25</f>
        <v>700000</v>
      </c>
      <c r="H28" s="12" t="n">
        <f aca="false">E28*G28</f>
        <v>2730000</v>
      </c>
    </row>
    <row r="29" customFormat="false" ht="36" hidden="false" customHeight="true" outlineLevel="0" collapsed="false">
      <c r="B29" s="7" t="s">
        <v>561</v>
      </c>
      <c r="C29" s="20" t="s">
        <v>122</v>
      </c>
      <c r="D29" s="32" t="n">
        <v>0.975</v>
      </c>
      <c r="E29" s="32" t="n">
        <v>0.975</v>
      </c>
      <c r="F29" s="21" t="s">
        <v>112</v>
      </c>
      <c r="G29" s="9" t="n">
        <f aca="false">'Master of Price'!$G$26</f>
        <v>1000000</v>
      </c>
      <c r="H29" s="9" t="n">
        <f aca="false">E29*G29</f>
        <v>975000</v>
      </c>
    </row>
    <row r="30" customFormat="false" ht="36" hidden="false" customHeight="true" outlineLevel="0" collapsed="false">
      <c r="B30" s="10" t="s">
        <v>579</v>
      </c>
      <c r="C30" s="33" t="s">
        <v>111</v>
      </c>
      <c r="D30" s="34" t="n">
        <v>0.1</v>
      </c>
      <c r="E30" s="34" t="n">
        <v>0.1</v>
      </c>
      <c r="F30" s="35" t="s">
        <v>112</v>
      </c>
      <c r="G30" s="12" t="n">
        <f aca="false">'Master of Price'!$G$21</f>
        <v>1000000</v>
      </c>
      <c r="H30" s="12" t="n">
        <f aca="false">E30*G30</f>
        <v>100000</v>
      </c>
    </row>
    <row r="31" customFormat="false" ht="25.5" hidden="false" customHeight="true" outlineLevel="0" collapsed="false">
      <c r="B31" s="27" t="s">
        <v>565</v>
      </c>
      <c r="C31" s="27"/>
      <c r="D31" s="27"/>
      <c r="E31" s="27"/>
      <c r="F31" s="27"/>
      <c r="G31" s="27"/>
      <c r="H31" s="14" t="n">
        <f aca="false">H25+H26+H27+H28+H29+H30</f>
        <v>4091325</v>
      </c>
    </row>
    <row r="33" customFormat="false" ht="21.75" hidden="false" customHeight="true" outlineLevel="0" collapsed="false">
      <c r="B33" s="19" t="s">
        <v>566</v>
      </c>
      <c r="C33" s="19"/>
      <c r="D33" s="19"/>
      <c r="E33" s="19"/>
      <c r="F33" s="19"/>
      <c r="G33" s="19"/>
      <c r="H33" s="19"/>
    </row>
    <row r="34" customFormat="false" ht="27.75" hidden="false" customHeight="true" outlineLevel="0" collapsed="false">
      <c r="B34" s="6" t="s">
        <v>16</v>
      </c>
      <c r="C34" s="6" t="s">
        <v>551</v>
      </c>
      <c r="D34" s="6" t="s">
        <v>552</v>
      </c>
      <c r="E34" s="6" t="s">
        <v>553</v>
      </c>
      <c r="F34" s="6" t="s">
        <v>87</v>
      </c>
      <c r="G34" s="6" t="s">
        <v>88</v>
      </c>
      <c r="H34" s="6" t="s">
        <v>554</v>
      </c>
    </row>
    <row r="35" customFormat="false" ht="21.75" hidden="false" customHeight="true" outlineLevel="0" collapsed="false">
      <c r="B35" s="29" t="s">
        <v>555</v>
      </c>
      <c r="C35" s="30" t="s">
        <v>580</v>
      </c>
      <c r="D35" s="31"/>
      <c r="E35" s="31"/>
      <c r="F35" s="31"/>
      <c r="G35" s="31"/>
      <c r="H35" s="31"/>
    </row>
    <row r="36" customFormat="false" ht="36" hidden="false" customHeight="true" outlineLevel="0" collapsed="false">
      <c r="B36" s="7" t="s">
        <v>557</v>
      </c>
      <c r="C36" s="20" t="s">
        <v>133</v>
      </c>
      <c r="D36" s="32" t="n">
        <v>1</v>
      </c>
      <c r="E36" s="32" t="n">
        <v>1</v>
      </c>
      <c r="F36" s="21" t="s">
        <v>128</v>
      </c>
      <c r="G36" s="9" t="n">
        <f aca="false">'Master of Price'!$G$30</f>
        <v>24000000</v>
      </c>
      <c r="H36" s="9" t="n">
        <f aca="false">E36*G36</f>
        <v>24000000</v>
      </c>
    </row>
    <row r="37" customFormat="false" ht="27.75" hidden="false" customHeight="true" outlineLevel="0" collapsed="false">
      <c r="B37" s="10" t="s">
        <v>558</v>
      </c>
      <c r="C37" s="33" t="s">
        <v>135</v>
      </c>
      <c r="D37" s="34" t="n">
        <v>1</v>
      </c>
      <c r="E37" s="34" t="n">
        <v>1</v>
      </c>
      <c r="F37" s="35" t="s">
        <v>131</v>
      </c>
      <c r="G37" s="12" t="n">
        <f aca="false">'Master of Price'!$G$31</f>
        <v>1500000</v>
      </c>
      <c r="H37" s="12" t="n">
        <f aca="false">E37*G37</f>
        <v>1500000</v>
      </c>
    </row>
    <row r="38" customFormat="false" ht="36" hidden="false" customHeight="true" outlineLevel="0" collapsed="false">
      <c r="B38" s="7" t="s">
        <v>559</v>
      </c>
      <c r="C38" s="20" t="s">
        <v>137</v>
      </c>
      <c r="D38" s="32" t="n">
        <v>5</v>
      </c>
      <c r="E38" s="32" t="n">
        <v>5</v>
      </c>
      <c r="F38" s="21" t="s">
        <v>128</v>
      </c>
      <c r="G38" s="9" t="n">
        <f aca="false">'Master of Price'!$G$32</f>
        <v>2100000</v>
      </c>
      <c r="H38" s="9" t="n">
        <f aca="false">E38*G38</f>
        <v>10500000</v>
      </c>
    </row>
    <row r="39" customFormat="false" ht="36" hidden="false" customHeight="true" outlineLevel="0" collapsed="false">
      <c r="B39" s="10" t="s">
        <v>560</v>
      </c>
      <c r="C39" s="33" t="s">
        <v>139</v>
      </c>
      <c r="D39" s="34" t="n">
        <v>1</v>
      </c>
      <c r="E39" s="34" t="n">
        <v>1</v>
      </c>
      <c r="F39" s="35" t="s">
        <v>140</v>
      </c>
      <c r="G39" s="12" t="n">
        <f aca="false">'Master of Price'!$G$33</f>
        <v>4500000</v>
      </c>
      <c r="H39" s="12" t="n">
        <f aca="false">E39*G39</f>
        <v>4500000</v>
      </c>
    </row>
    <row r="40" customFormat="false" ht="36" hidden="false" customHeight="true" outlineLevel="0" collapsed="false">
      <c r="B40" s="7" t="s">
        <v>561</v>
      </c>
      <c r="C40" s="20" t="s">
        <v>142</v>
      </c>
      <c r="D40" s="32" t="n">
        <v>1</v>
      </c>
      <c r="E40" s="32" t="n">
        <v>1</v>
      </c>
      <c r="F40" s="21" t="s">
        <v>131</v>
      </c>
      <c r="G40" s="9" t="n">
        <f aca="false">'Master of Price'!$G$34</f>
        <v>2500000</v>
      </c>
      <c r="H40" s="9" t="n">
        <f aca="false">E40*G40</f>
        <v>2500000</v>
      </c>
    </row>
    <row r="41" customFormat="false" ht="21.75" hidden="false" customHeight="true" outlineLevel="0" collapsed="false">
      <c r="B41" s="10" t="s">
        <v>579</v>
      </c>
      <c r="C41" s="33" t="s">
        <v>568</v>
      </c>
      <c r="D41" s="34" t="n">
        <v>1</v>
      </c>
      <c r="E41" s="34" t="n">
        <v>1</v>
      </c>
      <c r="F41" s="35" t="s">
        <v>131</v>
      </c>
      <c r="G41" s="12" t="n">
        <f aca="false">H45-(H20+H31+H36+H37+H38+H39+H40)</f>
        <v>9454790</v>
      </c>
      <c r="H41" s="12" t="n">
        <f aca="false">E41*G41</f>
        <v>9454790</v>
      </c>
    </row>
    <row r="42" customFormat="false" ht="25.5" hidden="false" customHeight="true" outlineLevel="0" collapsed="false">
      <c r="B42" s="27" t="s">
        <v>569</v>
      </c>
      <c r="C42" s="27"/>
      <c r="D42" s="27"/>
      <c r="E42" s="27"/>
      <c r="F42" s="27"/>
      <c r="G42" s="27"/>
      <c r="H42" s="14" t="n">
        <f aca="false">H36+H37+H38+H39+H40+H41</f>
        <v>52454790</v>
      </c>
    </row>
    <row r="44" customFormat="false" ht="27.75" hidden="false" customHeight="true" outlineLevel="0" collapsed="false">
      <c r="B44" s="13" t="s">
        <v>570</v>
      </c>
      <c r="C44" s="13"/>
      <c r="D44" s="13"/>
      <c r="E44" s="13"/>
      <c r="F44" s="13"/>
      <c r="G44" s="13"/>
      <c r="H44" s="15" t="n">
        <f aca="false">H20+H31+H42</f>
        <v>71546115</v>
      </c>
    </row>
    <row r="45" customFormat="false" ht="21.75" hidden="false" customHeight="true" outlineLevel="0" collapsed="false">
      <c r="B45" s="36" t="s">
        <v>571</v>
      </c>
      <c r="C45" s="36"/>
      <c r="D45" s="36"/>
      <c r="E45" s="36"/>
      <c r="F45" s="36"/>
      <c r="G45" s="36"/>
      <c r="H45" s="37" t="n">
        <f aca="false">RINGKASAN!$J$18</f>
        <v>71546115</v>
      </c>
    </row>
    <row r="46" customFormat="false" ht="21.75" hidden="false" customHeight="true" outlineLevel="0" collapsed="false">
      <c r="B46" s="38" t="s">
        <v>572</v>
      </c>
      <c r="C46" s="38"/>
      <c r="D46" s="38"/>
      <c r="E46" s="38"/>
      <c r="F46" s="38"/>
      <c r="G46" s="38"/>
      <c r="H46" s="9" t="n">
        <f aca="false">H44-H45</f>
        <v>0</v>
      </c>
    </row>
    <row r="47" customFormat="false" ht="21.75" hidden="false" customHeight="true" outlineLevel="0" collapsed="false">
      <c r="B47" s="39" t="s">
        <v>573</v>
      </c>
      <c r="C47" s="39"/>
      <c r="D47" s="39"/>
      <c r="E47" s="39"/>
      <c r="F47" s="39"/>
      <c r="G47" s="39"/>
      <c r="H47" s="10" t="str">
        <f aca="false">IF(H41&lt;0,"OVER BUDGET","OK")</f>
        <v>OK</v>
      </c>
    </row>
  </sheetData>
  <mergeCells count="21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2:H22"/>
    <mergeCell ref="D24:H24"/>
    <mergeCell ref="B31:G31"/>
    <mergeCell ref="B33:H33"/>
    <mergeCell ref="D35:H35"/>
    <mergeCell ref="B42:G42"/>
    <mergeCell ref="B44:G44"/>
    <mergeCell ref="B45:G45"/>
    <mergeCell ref="B46:G46"/>
    <mergeCell ref="B47:G47"/>
  </mergeCells>
  <conditionalFormatting sqref="H4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</cols>
  <sheetData>
    <row r="1" customFormat="false" ht="15" hidden="false" customHeight="false" outlineLevel="0" collapsed="false"/>
    <row r="2" customFormat="false" ht="31.5" hidden="false" customHeight="true" outlineLevel="0" collapsed="false">
      <c r="B2" s="2" t="s">
        <v>590</v>
      </c>
      <c r="C2" s="2"/>
      <c r="D2" s="2"/>
      <c r="E2" s="2"/>
      <c r="F2" s="2"/>
      <c r="G2" s="2"/>
      <c r="H2" s="2"/>
    </row>
    <row r="3" customFormat="false" ht="7.5" hidden="false" customHeight="true" outlineLevel="0" collapsed="false"/>
    <row r="4" customFormat="false" ht="19.5" hidden="false" customHeight="true" outlineLevel="0" collapsed="false">
      <c r="B4" s="3" t="s">
        <v>542</v>
      </c>
      <c r="C4" s="4" t="s">
        <v>591</v>
      </c>
      <c r="D4" s="4"/>
      <c r="E4" s="4"/>
      <c r="F4" s="4"/>
      <c r="G4" s="4"/>
      <c r="H4" s="4"/>
    </row>
    <row r="5" customFormat="false" ht="19.5" hidden="false" customHeight="true" outlineLevel="0" collapsed="false">
      <c r="B5" s="3" t="s">
        <v>544</v>
      </c>
      <c r="C5" s="4" t="s">
        <v>592</v>
      </c>
      <c r="D5" s="4"/>
      <c r="E5" s="4"/>
      <c r="F5" s="4"/>
      <c r="G5" s="4"/>
      <c r="H5" s="4"/>
    </row>
    <row r="6" customFormat="false" ht="19.5" hidden="false" customHeight="true" outlineLevel="0" collapsed="false">
      <c r="B6" s="3" t="s">
        <v>18</v>
      </c>
      <c r="C6" s="4" t="s">
        <v>577</v>
      </c>
      <c r="D6" s="4"/>
      <c r="E6" s="4"/>
      <c r="F6" s="4"/>
      <c r="G6" s="4"/>
      <c r="H6" s="4"/>
    </row>
    <row r="7" customFormat="false" ht="19.5" hidden="false" customHeight="true" outlineLevel="0" collapsed="false">
      <c r="B7" s="3" t="s">
        <v>547</v>
      </c>
      <c r="C7" s="4" t="s">
        <v>589</v>
      </c>
      <c r="D7" s="4"/>
      <c r="E7" s="4"/>
      <c r="F7" s="4"/>
      <c r="G7" s="4"/>
      <c r="H7" s="4"/>
    </row>
    <row r="8" customFormat="false" ht="19.5" hidden="false" customHeight="true" outlineLevel="0" collapsed="false">
      <c r="B8" s="3" t="s">
        <v>549</v>
      </c>
      <c r="C8" s="28" t="n">
        <f aca="false">RINGKASAN!$J$19</f>
        <v>116200487</v>
      </c>
      <c r="D8" s="28"/>
      <c r="E8" s="28"/>
      <c r="F8" s="28"/>
      <c r="G8" s="28"/>
      <c r="H8" s="28"/>
    </row>
    <row r="9" customFormat="false" ht="19.5" hidden="false" customHeight="true" outlineLevel="0" collapsed="false">
      <c r="B9" s="3" t="s">
        <v>79</v>
      </c>
      <c r="C9" s="4" t="s">
        <v>80</v>
      </c>
      <c r="D9" s="4"/>
      <c r="E9" s="4"/>
      <c r="F9" s="4"/>
      <c r="G9" s="4"/>
      <c r="H9" s="4"/>
    </row>
    <row r="10" customFormat="false" ht="19.5" hidden="false" customHeight="true" outlineLevel="0" collapsed="false">
      <c r="B10" s="3" t="s">
        <v>9</v>
      </c>
      <c r="C10" s="4" t="s">
        <v>10</v>
      </c>
      <c r="D10" s="4"/>
      <c r="E10" s="4"/>
      <c r="F10" s="4"/>
      <c r="G10" s="4"/>
      <c r="H10" s="4"/>
    </row>
    <row r="12" customFormat="false" ht="21.75" hidden="false" customHeight="true" outlineLevel="0" collapsed="false">
      <c r="B12" s="19" t="s">
        <v>550</v>
      </c>
      <c r="C12" s="19"/>
      <c r="D12" s="19"/>
      <c r="E12" s="19"/>
      <c r="F12" s="19"/>
      <c r="G12" s="19"/>
      <c r="H12" s="19"/>
    </row>
    <row r="13" customFormat="false" ht="27.75" hidden="false" customHeight="true" outlineLevel="0" collapsed="false">
      <c r="B13" s="6" t="s">
        <v>16</v>
      </c>
      <c r="C13" s="6" t="s">
        <v>551</v>
      </c>
      <c r="D13" s="6" t="s">
        <v>552</v>
      </c>
      <c r="E13" s="6" t="s">
        <v>553</v>
      </c>
      <c r="F13" s="6" t="s">
        <v>87</v>
      </c>
      <c r="G13" s="6" t="s">
        <v>88</v>
      </c>
      <c r="H13" s="6" t="s">
        <v>554</v>
      </c>
    </row>
    <row r="14" customFormat="false" ht="21.75" hidden="false" customHeight="true" outlineLevel="0" collapsed="false">
      <c r="B14" s="29" t="s">
        <v>555</v>
      </c>
      <c r="C14" s="30" t="s">
        <v>556</v>
      </c>
      <c r="D14" s="31"/>
      <c r="E14" s="31"/>
      <c r="F14" s="31"/>
      <c r="G14" s="31"/>
      <c r="H14" s="31"/>
    </row>
    <row r="15" customFormat="false" ht="36" hidden="false" customHeight="true" outlineLevel="0" collapsed="false">
      <c r="B15" s="7" t="s">
        <v>557</v>
      </c>
      <c r="C15" s="20" t="s">
        <v>102</v>
      </c>
      <c r="D15" s="32" t="n">
        <v>25</v>
      </c>
      <c r="E15" s="32" t="n">
        <v>25</v>
      </c>
      <c r="F15" s="21" t="s">
        <v>92</v>
      </c>
      <c r="G15" s="9" t="n">
        <f aca="false">'Master of Price'!$G$17</f>
        <v>352000</v>
      </c>
      <c r="H15" s="9" t="n">
        <f aca="false">E15*G15</f>
        <v>8800000</v>
      </c>
    </row>
    <row r="16" customFormat="false" ht="27.75" hidden="false" customHeight="true" outlineLevel="0" collapsed="false">
      <c r="B16" s="10" t="s">
        <v>558</v>
      </c>
      <c r="C16" s="33" t="s">
        <v>94</v>
      </c>
      <c r="D16" s="34" t="n">
        <v>25</v>
      </c>
      <c r="E16" s="34" t="n">
        <v>25</v>
      </c>
      <c r="F16" s="35" t="s">
        <v>92</v>
      </c>
      <c r="G16" s="12" t="n">
        <f aca="false">'Master of Price'!$G$13</f>
        <v>100000</v>
      </c>
      <c r="H16" s="12" t="n">
        <f aca="false">E16*G16</f>
        <v>2500000</v>
      </c>
    </row>
    <row r="17" customFormat="false" ht="27.75" hidden="false" customHeight="true" outlineLevel="0" collapsed="false">
      <c r="B17" s="7" t="s">
        <v>559</v>
      </c>
      <c r="C17" s="20" t="s">
        <v>96</v>
      </c>
      <c r="D17" s="32" t="n">
        <v>25</v>
      </c>
      <c r="E17" s="32" t="n">
        <v>25</v>
      </c>
      <c r="F17" s="21" t="s">
        <v>92</v>
      </c>
      <c r="G17" s="9" t="n">
        <f aca="false">'Master of Price'!$G$14</f>
        <v>28000</v>
      </c>
      <c r="H17" s="9" t="n">
        <f aca="false">E17*G17</f>
        <v>700000</v>
      </c>
    </row>
    <row r="18" customFormat="false" ht="27.75" hidden="false" customHeight="true" outlineLevel="0" collapsed="false">
      <c r="B18" s="10" t="s">
        <v>560</v>
      </c>
      <c r="C18" s="33" t="s">
        <v>98</v>
      </c>
      <c r="D18" s="34" t="n">
        <v>25</v>
      </c>
      <c r="E18" s="34" t="n">
        <v>25</v>
      </c>
      <c r="F18" s="35" t="s">
        <v>92</v>
      </c>
      <c r="G18" s="12" t="n">
        <f aca="false">'Master of Price'!$G$15</f>
        <v>45000</v>
      </c>
      <c r="H18" s="12" t="n">
        <f aca="false">E18*G18</f>
        <v>1125000</v>
      </c>
    </row>
    <row r="19" customFormat="false" ht="27.75" hidden="false" customHeight="true" outlineLevel="0" collapsed="false">
      <c r="B19" s="7" t="s">
        <v>561</v>
      </c>
      <c r="C19" s="20" t="s">
        <v>100</v>
      </c>
      <c r="D19" s="32" t="n">
        <v>25</v>
      </c>
      <c r="E19" s="32" t="n">
        <v>25</v>
      </c>
      <c r="F19" s="21" t="s">
        <v>92</v>
      </c>
      <c r="G19" s="9" t="n">
        <f aca="false">'Master of Price'!$G$16</f>
        <v>75000</v>
      </c>
      <c r="H19" s="9" t="n">
        <f aca="false">E19*G19</f>
        <v>1875000</v>
      </c>
    </row>
    <row r="20" customFormat="false" ht="25.5" hidden="false" customHeight="true" outlineLevel="0" collapsed="false">
      <c r="B20" s="27" t="s">
        <v>562</v>
      </c>
      <c r="C20" s="27"/>
      <c r="D20" s="27"/>
      <c r="E20" s="27"/>
      <c r="F20" s="27"/>
      <c r="G20" s="27"/>
      <c r="H20" s="14" t="n">
        <f aca="false">H15+H16+H17+H18+H19</f>
        <v>15000000</v>
      </c>
    </row>
    <row r="22" customFormat="false" ht="21.75" hidden="false" customHeight="true" outlineLevel="0" collapsed="false">
      <c r="B22" s="19" t="s">
        <v>563</v>
      </c>
      <c r="C22" s="19"/>
      <c r="D22" s="19"/>
      <c r="E22" s="19"/>
      <c r="F22" s="19"/>
      <c r="G22" s="19"/>
      <c r="H22" s="19"/>
    </row>
    <row r="23" customFormat="false" ht="27.75" hidden="false" customHeight="true" outlineLevel="0" collapsed="false">
      <c r="B23" s="6" t="s">
        <v>16</v>
      </c>
      <c r="C23" s="6" t="s">
        <v>551</v>
      </c>
      <c r="D23" s="6" t="s">
        <v>552</v>
      </c>
      <c r="E23" s="6" t="s">
        <v>553</v>
      </c>
      <c r="F23" s="6" t="s">
        <v>87</v>
      </c>
      <c r="G23" s="6" t="s">
        <v>88</v>
      </c>
      <c r="H23" s="6" t="s">
        <v>554</v>
      </c>
    </row>
    <row r="24" customFormat="false" ht="21.75" hidden="false" customHeight="true" outlineLevel="0" collapsed="false">
      <c r="B24" s="29" t="s">
        <v>555</v>
      </c>
      <c r="C24" s="30" t="s">
        <v>564</v>
      </c>
      <c r="D24" s="31"/>
      <c r="E24" s="31"/>
      <c r="F24" s="31"/>
      <c r="G24" s="31"/>
      <c r="H24" s="31"/>
    </row>
    <row r="25" customFormat="false" ht="27.75" hidden="false" customHeight="true" outlineLevel="0" collapsed="false">
      <c r="B25" s="7" t="s">
        <v>557</v>
      </c>
      <c r="C25" s="20" t="s">
        <v>114</v>
      </c>
      <c r="D25" s="32" t="n">
        <v>5.07</v>
      </c>
      <c r="E25" s="32" t="n">
        <v>5.07</v>
      </c>
      <c r="F25" s="21" t="s">
        <v>112</v>
      </c>
      <c r="G25" s="9" t="n">
        <f aca="false">'Master of Price'!$G$22</f>
        <v>47500</v>
      </c>
      <c r="H25" s="9" t="n">
        <f aca="false">E25*G25</f>
        <v>240825</v>
      </c>
    </row>
    <row r="26" customFormat="false" ht="21.75" hidden="false" customHeight="true" outlineLevel="0" collapsed="false">
      <c r="B26" s="10" t="s">
        <v>558</v>
      </c>
      <c r="C26" s="33" t="s">
        <v>116</v>
      </c>
      <c r="D26" s="34" t="n">
        <v>0.39</v>
      </c>
      <c r="E26" s="34" t="n">
        <v>0.39</v>
      </c>
      <c r="F26" s="35" t="s">
        <v>112</v>
      </c>
      <c r="G26" s="12" t="n">
        <f aca="false">'Master of Price'!$G$23</f>
        <v>90000</v>
      </c>
      <c r="H26" s="12" t="n">
        <f aca="false">E26*G26</f>
        <v>35100</v>
      </c>
    </row>
    <row r="27" customFormat="false" ht="21.75" hidden="false" customHeight="true" outlineLevel="0" collapsed="false">
      <c r="B27" s="7" t="s">
        <v>559</v>
      </c>
      <c r="C27" s="20" t="s">
        <v>118</v>
      </c>
      <c r="D27" s="32" t="n">
        <v>0.08</v>
      </c>
      <c r="E27" s="32" t="n">
        <v>0.08</v>
      </c>
      <c r="F27" s="21" t="s">
        <v>112</v>
      </c>
      <c r="G27" s="9" t="n">
        <f aca="false">'Master of Price'!$G$24</f>
        <v>130000</v>
      </c>
      <c r="H27" s="9" t="n">
        <f aca="false">E27*G27</f>
        <v>10400</v>
      </c>
    </row>
    <row r="28" customFormat="false" ht="27.75" hidden="false" customHeight="true" outlineLevel="0" collapsed="false">
      <c r="B28" s="10" t="s">
        <v>560</v>
      </c>
      <c r="C28" s="33" t="s">
        <v>120</v>
      </c>
      <c r="D28" s="34" t="n">
        <v>3.9</v>
      </c>
      <c r="E28" s="34" t="n">
        <v>3.9</v>
      </c>
      <c r="F28" s="35" t="s">
        <v>112</v>
      </c>
      <c r="G28" s="12" t="n">
        <f aca="false">'Master of Price'!$G$25</f>
        <v>700000</v>
      </c>
      <c r="H28" s="12" t="n">
        <f aca="false">E28*G28</f>
        <v>2730000</v>
      </c>
    </row>
    <row r="29" customFormat="false" ht="36" hidden="false" customHeight="true" outlineLevel="0" collapsed="false">
      <c r="B29" s="7" t="s">
        <v>561</v>
      </c>
      <c r="C29" s="20" t="s">
        <v>122</v>
      </c>
      <c r="D29" s="32" t="n">
        <v>0.975</v>
      </c>
      <c r="E29" s="32" t="n">
        <v>0.975</v>
      </c>
      <c r="F29" s="21" t="s">
        <v>112</v>
      </c>
      <c r="G29" s="9" t="n">
        <f aca="false">'Master of Price'!$G$26</f>
        <v>1000000</v>
      </c>
      <c r="H29" s="9" t="n">
        <f aca="false">E29*G29</f>
        <v>975000</v>
      </c>
    </row>
    <row r="30" customFormat="false" ht="36" hidden="false" customHeight="true" outlineLevel="0" collapsed="false">
      <c r="B30" s="10" t="s">
        <v>579</v>
      </c>
      <c r="C30" s="33" t="s">
        <v>111</v>
      </c>
      <c r="D30" s="34" t="n">
        <v>0.1</v>
      </c>
      <c r="E30" s="34" t="n">
        <v>0.1</v>
      </c>
      <c r="F30" s="35" t="s">
        <v>112</v>
      </c>
      <c r="G30" s="12" t="n">
        <f aca="false">'Master of Price'!$G$21</f>
        <v>1000000</v>
      </c>
      <c r="H30" s="12" t="n">
        <f aca="false">E30*G30</f>
        <v>100000</v>
      </c>
    </row>
    <row r="31" customFormat="false" ht="25.5" hidden="false" customHeight="true" outlineLevel="0" collapsed="false">
      <c r="B31" s="27" t="s">
        <v>565</v>
      </c>
      <c r="C31" s="27"/>
      <c r="D31" s="27"/>
      <c r="E31" s="27"/>
      <c r="F31" s="27"/>
      <c r="G31" s="27"/>
      <c r="H31" s="14" t="n">
        <f aca="false">H25+H26+H27+H28+H29+H30</f>
        <v>4091325</v>
      </c>
    </row>
    <row r="33" customFormat="false" ht="21.75" hidden="false" customHeight="true" outlineLevel="0" collapsed="false">
      <c r="B33" s="19" t="s">
        <v>566</v>
      </c>
      <c r="C33" s="19"/>
      <c r="D33" s="19"/>
      <c r="E33" s="19"/>
      <c r="F33" s="19"/>
      <c r="G33" s="19"/>
      <c r="H33" s="19"/>
    </row>
    <row r="34" customFormat="false" ht="27.75" hidden="false" customHeight="true" outlineLevel="0" collapsed="false">
      <c r="B34" s="6" t="s">
        <v>16</v>
      </c>
      <c r="C34" s="6" t="s">
        <v>551</v>
      </c>
      <c r="D34" s="6" t="s">
        <v>552</v>
      </c>
      <c r="E34" s="6" t="s">
        <v>553</v>
      </c>
      <c r="F34" s="6" t="s">
        <v>87</v>
      </c>
      <c r="G34" s="6" t="s">
        <v>88</v>
      </c>
      <c r="H34" s="6" t="s">
        <v>554</v>
      </c>
    </row>
    <row r="35" customFormat="false" ht="21.75" hidden="false" customHeight="true" outlineLevel="0" collapsed="false">
      <c r="B35" s="29" t="s">
        <v>555</v>
      </c>
      <c r="C35" s="30" t="s">
        <v>580</v>
      </c>
      <c r="D35" s="31"/>
      <c r="E35" s="31"/>
      <c r="F35" s="31"/>
      <c r="G35" s="31"/>
      <c r="H35" s="31"/>
    </row>
    <row r="36" customFormat="false" ht="36" hidden="false" customHeight="true" outlineLevel="0" collapsed="false">
      <c r="B36" s="7" t="s">
        <v>557</v>
      </c>
      <c r="C36" s="20" t="s">
        <v>133</v>
      </c>
      <c r="D36" s="32" t="n">
        <v>1</v>
      </c>
      <c r="E36" s="32" t="n">
        <v>1</v>
      </c>
      <c r="F36" s="21" t="s">
        <v>128</v>
      </c>
      <c r="G36" s="9" t="n">
        <f aca="false">'Master of Price'!$G$30</f>
        <v>24000000</v>
      </c>
      <c r="H36" s="9" t="n">
        <f aca="false">E36*G36</f>
        <v>24000000</v>
      </c>
    </row>
    <row r="37" customFormat="false" ht="27.75" hidden="false" customHeight="true" outlineLevel="0" collapsed="false">
      <c r="B37" s="10" t="s">
        <v>558</v>
      </c>
      <c r="C37" s="33" t="s">
        <v>135</v>
      </c>
      <c r="D37" s="34" t="n">
        <v>1</v>
      </c>
      <c r="E37" s="34" t="n">
        <v>1</v>
      </c>
      <c r="F37" s="35" t="s">
        <v>131</v>
      </c>
      <c r="G37" s="12" t="n">
        <f aca="false">'Master of Price'!$G$31</f>
        <v>1500000</v>
      </c>
      <c r="H37" s="12" t="n">
        <f aca="false">E37*G37</f>
        <v>1500000</v>
      </c>
    </row>
    <row r="38" customFormat="false" ht="36" hidden="false" customHeight="true" outlineLevel="0" collapsed="false">
      <c r="B38" s="7" t="s">
        <v>559</v>
      </c>
      <c r="C38" s="20" t="s">
        <v>137</v>
      </c>
      <c r="D38" s="32" t="n">
        <v>5</v>
      </c>
      <c r="E38" s="32" t="n">
        <v>5</v>
      </c>
      <c r="F38" s="21" t="s">
        <v>128</v>
      </c>
      <c r="G38" s="9" t="n">
        <f aca="false">'Master of Price'!$G$32</f>
        <v>2100000</v>
      </c>
      <c r="H38" s="9" t="n">
        <f aca="false">E38*G38</f>
        <v>10500000</v>
      </c>
    </row>
    <row r="39" customFormat="false" ht="36" hidden="false" customHeight="true" outlineLevel="0" collapsed="false">
      <c r="B39" s="10" t="s">
        <v>560</v>
      </c>
      <c r="C39" s="33" t="s">
        <v>139</v>
      </c>
      <c r="D39" s="34" t="n">
        <v>1</v>
      </c>
      <c r="E39" s="34" t="n">
        <v>1</v>
      </c>
      <c r="F39" s="35" t="s">
        <v>140</v>
      </c>
      <c r="G39" s="12" t="n">
        <f aca="false">'Master of Price'!$G$33</f>
        <v>4500000</v>
      </c>
      <c r="H39" s="12" t="n">
        <f aca="false">E39*G39</f>
        <v>4500000</v>
      </c>
    </row>
    <row r="40" customFormat="false" ht="36" hidden="false" customHeight="true" outlineLevel="0" collapsed="false">
      <c r="B40" s="7" t="s">
        <v>561</v>
      </c>
      <c r="C40" s="20" t="s">
        <v>142</v>
      </c>
      <c r="D40" s="32" t="n">
        <v>1</v>
      </c>
      <c r="E40" s="32" t="n">
        <v>1</v>
      </c>
      <c r="F40" s="21" t="s">
        <v>131</v>
      </c>
      <c r="G40" s="9" t="n">
        <f aca="false">'Master of Price'!$G$34</f>
        <v>2500000</v>
      </c>
      <c r="H40" s="9" t="n">
        <f aca="false">E40*G40</f>
        <v>2500000</v>
      </c>
    </row>
    <row r="41" customFormat="false" ht="21.75" hidden="false" customHeight="true" outlineLevel="0" collapsed="false">
      <c r="B41" s="10" t="s">
        <v>579</v>
      </c>
      <c r="C41" s="33" t="s">
        <v>568</v>
      </c>
      <c r="D41" s="34" t="n">
        <v>1</v>
      </c>
      <c r="E41" s="34" t="n">
        <v>1</v>
      </c>
      <c r="F41" s="35" t="s">
        <v>131</v>
      </c>
      <c r="G41" s="12" t="n">
        <f aca="false">H45-(H20+H31+H36+H37+H38+H39+H40)</f>
        <v>54109162</v>
      </c>
      <c r="H41" s="12" t="n">
        <f aca="false">E41*G41</f>
        <v>54109162</v>
      </c>
    </row>
    <row r="42" customFormat="false" ht="25.5" hidden="false" customHeight="true" outlineLevel="0" collapsed="false">
      <c r="B42" s="27" t="s">
        <v>569</v>
      </c>
      <c r="C42" s="27"/>
      <c r="D42" s="27"/>
      <c r="E42" s="27"/>
      <c r="F42" s="27"/>
      <c r="G42" s="27"/>
      <c r="H42" s="14" t="n">
        <f aca="false">H36+H37+H38+H39+H40+H41</f>
        <v>97109162</v>
      </c>
    </row>
    <row r="44" customFormat="false" ht="27.75" hidden="false" customHeight="true" outlineLevel="0" collapsed="false">
      <c r="B44" s="13" t="s">
        <v>570</v>
      </c>
      <c r="C44" s="13"/>
      <c r="D44" s="13"/>
      <c r="E44" s="13"/>
      <c r="F44" s="13"/>
      <c r="G44" s="13"/>
      <c r="H44" s="15" t="n">
        <f aca="false">H20+H31+H42</f>
        <v>116200487</v>
      </c>
    </row>
    <row r="45" customFormat="false" ht="21.75" hidden="false" customHeight="true" outlineLevel="0" collapsed="false">
      <c r="B45" s="36" t="s">
        <v>571</v>
      </c>
      <c r="C45" s="36"/>
      <c r="D45" s="36"/>
      <c r="E45" s="36"/>
      <c r="F45" s="36"/>
      <c r="G45" s="36"/>
      <c r="H45" s="37" t="n">
        <f aca="false">RINGKASAN!$J$19</f>
        <v>116200487</v>
      </c>
    </row>
    <row r="46" customFormat="false" ht="21.75" hidden="false" customHeight="true" outlineLevel="0" collapsed="false">
      <c r="B46" s="38" t="s">
        <v>572</v>
      </c>
      <c r="C46" s="38"/>
      <c r="D46" s="38"/>
      <c r="E46" s="38"/>
      <c r="F46" s="38"/>
      <c r="G46" s="38"/>
      <c r="H46" s="9" t="n">
        <f aca="false">H44-H45</f>
        <v>0</v>
      </c>
    </row>
    <row r="47" customFormat="false" ht="21.75" hidden="false" customHeight="true" outlineLevel="0" collapsed="false">
      <c r="B47" s="39" t="s">
        <v>573</v>
      </c>
      <c r="C47" s="39"/>
      <c r="D47" s="39"/>
      <c r="E47" s="39"/>
      <c r="F47" s="39"/>
      <c r="G47" s="39"/>
      <c r="H47" s="10" t="str">
        <f aca="false">IF(H41&lt;0,"OVER BUDGET","OK")</f>
        <v>OK</v>
      </c>
    </row>
  </sheetData>
  <mergeCells count="21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2:H22"/>
    <mergeCell ref="D24:H24"/>
    <mergeCell ref="B31:G31"/>
    <mergeCell ref="B33:H33"/>
    <mergeCell ref="D35:H35"/>
    <mergeCell ref="B42:G42"/>
    <mergeCell ref="B44:G44"/>
    <mergeCell ref="B45:G45"/>
    <mergeCell ref="B46:G46"/>
    <mergeCell ref="B47:G47"/>
  </mergeCells>
  <conditionalFormatting sqref="H4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</cols>
  <sheetData>
    <row r="1" customFormat="false" ht="15" hidden="false" customHeight="false" outlineLevel="0" collapsed="false"/>
    <row r="2" customFormat="false" ht="31.5" hidden="false" customHeight="true" outlineLevel="0" collapsed="false">
      <c r="B2" s="2" t="s">
        <v>593</v>
      </c>
      <c r="C2" s="2"/>
      <c r="D2" s="2"/>
      <c r="E2" s="2"/>
      <c r="F2" s="2"/>
      <c r="G2" s="2"/>
      <c r="H2" s="2"/>
    </row>
    <row r="3" customFormat="false" ht="7.5" hidden="false" customHeight="true" outlineLevel="0" collapsed="false"/>
    <row r="4" customFormat="false" ht="19.5" hidden="false" customHeight="true" outlineLevel="0" collapsed="false">
      <c r="B4" s="3" t="s">
        <v>542</v>
      </c>
      <c r="C4" s="4" t="s">
        <v>591</v>
      </c>
      <c r="D4" s="4"/>
      <c r="E4" s="4"/>
      <c r="F4" s="4"/>
      <c r="G4" s="4"/>
      <c r="H4" s="4"/>
    </row>
    <row r="5" customFormat="false" ht="19.5" hidden="false" customHeight="true" outlineLevel="0" collapsed="false">
      <c r="B5" s="3" t="s">
        <v>544</v>
      </c>
      <c r="C5" s="4" t="s">
        <v>594</v>
      </c>
      <c r="D5" s="4"/>
      <c r="E5" s="4"/>
      <c r="F5" s="4"/>
      <c r="G5" s="4"/>
      <c r="H5" s="4"/>
    </row>
    <row r="6" customFormat="false" ht="19.5" hidden="false" customHeight="true" outlineLevel="0" collapsed="false">
      <c r="B6" s="3" t="s">
        <v>18</v>
      </c>
      <c r="C6" s="4" t="s">
        <v>577</v>
      </c>
      <c r="D6" s="4"/>
      <c r="E6" s="4"/>
      <c r="F6" s="4"/>
      <c r="G6" s="4"/>
      <c r="H6" s="4"/>
    </row>
    <row r="7" customFormat="false" ht="19.5" hidden="false" customHeight="true" outlineLevel="0" collapsed="false">
      <c r="B7" s="3" t="s">
        <v>547</v>
      </c>
      <c r="C7" s="4" t="s">
        <v>589</v>
      </c>
      <c r="D7" s="4"/>
      <c r="E7" s="4"/>
      <c r="F7" s="4"/>
      <c r="G7" s="4"/>
      <c r="H7" s="4"/>
    </row>
    <row r="8" customFormat="false" ht="19.5" hidden="false" customHeight="true" outlineLevel="0" collapsed="false">
      <c r="B8" s="3" t="s">
        <v>549</v>
      </c>
      <c r="C8" s="28" t="n">
        <f aca="false">RINGKASAN!$J$20</f>
        <v>116200487</v>
      </c>
      <c r="D8" s="28"/>
      <c r="E8" s="28"/>
      <c r="F8" s="28"/>
      <c r="G8" s="28"/>
      <c r="H8" s="28"/>
    </row>
    <row r="9" customFormat="false" ht="19.5" hidden="false" customHeight="true" outlineLevel="0" collapsed="false">
      <c r="B9" s="3" t="s">
        <v>79</v>
      </c>
      <c r="C9" s="4" t="s">
        <v>80</v>
      </c>
      <c r="D9" s="4"/>
      <c r="E9" s="4"/>
      <c r="F9" s="4"/>
      <c r="G9" s="4"/>
      <c r="H9" s="4"/>
    </row>
    <row r="10" customFormat="false" ht="19.5" hidden="false" customHeight="true" outlineLevel="0" collapsed="false">
      <c r="B10" s="3" t="s">
        <v>9</v>
      </c>
      <c r="C10" s="4" t="s">
        <v>10</v>
      </c>
      <c r="D10" s="4"/>
      <c r="E10" s="4"/>
      <c r="F10" s="4"/>
      <c r="G10" s="4"/>
      <c r="H10" s="4"/>
    </row>
    <row r="12" customFormat="false" ht="21.75" hidden="false" customHeight="true" outlineLevel="0" collapsed="false">
      <c r="B12" s="19" t="s">
        <v>550</v>
      </c>
      <c r="C12" s="19"/>
      <c r="D12" s="19"/>
      <c r="E12" s="19"/>
      <c r="F12" s="19"/>
      <c r="G12" s="19"/>
      <c r="H12" s="19"/>
    </row>
    <row r="13" customFormat="false" ht="27.75" hidden="false" customHeight="true" outlineLevel="0" collapsed="false">
      <c r="B13" s="6" t="s">
        <v>16</v>
      </c>
      <c r="C13" s="6" t="s">
        <v>551</v>
      </c>
      <c r="D13" s="6" t="s">
        <v>552</v>
      </c>
      <c r="E13" s="6" t="s">
        <v>553</v>
      </c>
      <c r="F13" s="6" t="s">
        <v>87</v>
      </c>
      <c r="G13" s="6" t="s">
        <v>88</v>
      </c>
      <c r="H13" s="6" t="s">
        <v>554</v>
      </c>
    </row>
    <row r="14" customFormat="false" ht="21.75" hidden="false" customHeight="true" outlineLevel="0" collapsed="false">
      <c r="B14" s="29" t="s">
        <v>555</v>
      </c>
      <c r="C14" s="30" t="s">
        <v>556</v>
      </c>
      <c r="D14" s="31"/>
      <c r="E14" s="31"/>
      <c r="F14" s="31"/>
      <c r="G14" s="31"/>
      <c r="H14" s="31"/>
    </row>
    <row r="15" customFormat="false" ht="36" hidden="false" customHeight="true" outlineLevel="0" collapsed="false">
      <c r="B15" s="7" t="s">
        <v>557</v>
      </c>
      <c r="C15" s="20" t="s">
        <v>102</v>
      </c>
      <c r="D15" s="32" t="n">
        <v>25</v>
      </c>
      <c r="E15" s="32" t="n">
        <v>25</v>
      </c>
      <c r="F15" s="21" t="s">
        <v>92</v>
      </c>
      <c r="G15" s="9" t="n">
        <f aca="false">'Master of Price'!$G$17</f>
        <v>352000</v>
      </c>
      <c r="H15" s="9" t="n">
        <f aca="false">E15*G15</f>
        <v>8800000</v>
      </c>
    </row>
    <row r="16" customFormat="false" ht="27.75" hidden="false" customHeight="true" outlineLevel="0" collapsed="false">
      <c r="B16" s="10" t="s">
        <v>558</v>
      </c>
      <c r="C16" s="33" t="s">
        <v>94</v>
      </c>
      <c r="D16" s="34" t="n">
        <v>25</v>
      </c>
      <c r="E16" s="34" t="n">
        <v>25</v>
      </c>
      <c r="F16" s="35" t="s">
        <v>92</v>
      </c>
      <c r="G16" s="12" t="n">
        <f aca="false">'Master of Price'!$G$13</f>
        <v>100000</v>
      </c>
      <c r="H16" s="12" t="n">
        <f aca="false">E16*G16</f>
        <v>2500000</v>
      </c>
    </row>
    <row r="17" customFormat="false" ht="27.75" hidden="false" customHeight="true" outlineLevel="0" collapsed="false">
      <c r="B17" s="7" t="s">
        <v>559</v>
      </c>
      <c r="C17" s="20" t="s">
        <v>96</v>
      </c>
      <c r="D17" s="32" t="n">
        <v>25</v>
      </c>
      <c r="E17" s="32" t="n">
        <v>25</v>
      </c>
      <c r="F17" s="21" t="s">
        <v>92</v>
      </c>
      <c r="G17" s="9" t="n">
        <f aca="false">'Master of Price'!$G$14</f>
        <v>28000</v>
      </c>
      <c r="H17" s="9" t="n">
        <f aca="false">E17*G17</f>
        <v>700000</v>
      </c>
    </row>
    <row r="18" customFormat="false" ht="27.75" hidden="false" customHeight="true" outlineLevel="0" collapsed="false">
      <c r="B18" s="10" t="s">
        <v>560</v>
      </c>
      <c r="C18" s="33" t="s">
        <v>98</v>
      </c>
      <c r="D18" s="34" t="n">
        <v>25</v>
      </c>
      <c r="E18" s="34" t="n">
        <v>25</v>
      </c>
      <c r="F18" s="35" t="s">
        <v>92</v>
      </c>
      <c r="G18" s="12" t="n">
        <f aca="false">'Master of Price'!$G$15</f>
        <v>45000</v>
      </c>
      <c r="H18" s="12" t="n">
        <f aca="false">E18*G18</f>
        <v>1125000</v>
      </c>
    </row>
    <row r="19" customFormat="false" ht="27.75" hidden="false" customHeight="true" outlineLevel="0" collapsed="false">
      <c r="B19" s="7" t="s">
        <v>561</v>
      </c>
      <c r="C19" s="20" t="s">
        <v>100</v>
      </c>
      <c r="D19" s="32" t="n">
        <v>25</v>
      </c>
      <c r="E19" s="32" t="n">
        <v>25</v>
      </c>
      <c r="F19" s="21" t="s">
        <v>92</v>
      </c>
      <c r="G19" s="9" t="n">
        <f aca="false">'Master of Price'!$G$16</f>
        <v>75000</v>
      </c>
      <c r="H19" s="9" t="n">
        <f aca="false">E19*G19</f>
        <v>1875000</v>
      </c>
    </row>
    <row r="20" customFormat="false" ht="25.5" hidden="false" customHeight="true" outlineLevel="0" collapsed="false">
      <c r="B20" s="27" t="s">
        <v>562</v>
      </c>
      <c r="C20" s="27"/>
      <c r="D20" s="27"/>
      <c r="E20" s="27"/>
      <c r="F20" s="27"/>
      <c r="G20" s="27"/>
      <c r="H20" s="14" t="n">
        <f aca="false">H15+H16+H17+H18+H19</f>
        <v>15000000</v>
      </c>
    </row>
    <row r="22" customFormat="false" ht="21.75" hidden="false" customHeight="true" outlineLevel="0" collapsed="false">
      <c r="B22" s="19" t="s">
        <v>563</v>
      </c>
      <c r="C22" s="19"/>
      <c r="D22" s="19"/>
      <c r="E22" s="19"/>
      <c r="F22" s="19"/>
      <c r="G22" s="19"/>
      <c r="H22" s="19"/>
    </row>
    <row r="23" customFormat="false" ht="27.75" hidden="false" customHeight="true" outlineLevel="0" collapsed="false">
      <c r="B23" s="6" t="s">
        <v>16</v>
      </c>
      <c r="C23" s="6" t="s">
        <v>551</v>
      </c>
      <c r="D23" s="6" t="s">
        <v>552</v>
      </c>
      <c r="E23" s="6" t="s">
        <v>553</v>
      </c>
      <c r="F23" s="6" t="s">
        <v>87</v>
      </c>
      <c r="G23" s="6" t="s">
        <v>88</v>
      </c>
      <c r="H23" s="6" t="s">
        <v>554</v>
      </c>
    </row>
    <row r="24" customFormat="false" ht="21.75" hidden="false" customHeight="true" outlineLevel="0" collapsed="false">
      <c r="B24" s="29" t="s">
        <v>555</v>
      </c>
      <c r="C24" s="30" t="s">
        <v>564</v>
      </c>
      <c r="D24" s="31"/>
      <c r="E24" s="31"/>
      <c r="F24" s="31"/>
      <c r="G24" s="31"/>
      <c r="H24" s="31"/>
    </row>
    <row r="25" customFormat="false" ht="27.75" hidden="false" customHeight="true" outlineLevel="0" collapsed="false">
      <c r="B25" s="7" t="s">
        <v>557</v>
      </c>
      <c r="C25" s="20" t="s">
        <v>114</v>
      </c>
      <c r="D25" s="32" t="n">
        <v>5.07</v>
      </c>
      <c r="E25" s="32" t="n">
        <v>5.07</v>
      </c>
      <c r="F25" s="21" t="s">
        <v>112</v>
      </c>
      <c r="G25" s="9" t="n">
        <f aca="false">'Master of Price'!$G$22</f>
        <v>47500</v>
      </c>
      <c r="H25" s="9" t="n">
        <f aca="false">E25*G25</f>
        <v>240825</v>
      </c>
    </row>
    <row r="26" customFormat="false" ht="21.75" hidden="false" customHeight="true" outlineLevel="0" collapsed="false">
      <c r="B26" s="10" t="s">
        <v>558</v>
      </c>
      <c r="C26" s="33" t="s">
        <v>116</v>
      </c>
      <c r="D26" s="34" t="n">
        <v>0.39</v>
      </c>
      <c r="E26" s="34" t="n">
        <v>0.39</v>
      </c>
      <c r="F26" s="35" t="s">
        <v>112</v>
      </c>
      <c r="G26" s="12" t="n">
        <f aca="false">'Master of Price'!$G$23</f>
        <v>90000</v>
      </c>
      <c r="H26" s="12" t="n">
        <f aca="false">E26*G26</f>
        <v>35100</v>
      </c>
    </row>
    <row r="27" customFormat="false" ht="21.75" hidden="false" customHeight="true" outlineLevel="0" collapsed="false">
      <c r="B27" s="7" t="s">
        <v>559</v>
      </c>
      <c r="C27" s="20" t="s">
        <v>118</v>
      </c>
      <c r="D27" s="32" t="n">
        <v>0.08</v>
      </c>
      <c r="E27" s="32" t="n">
        <v>0.08</v>
      </c>
      <c r="F27" s="21" t="s">
        <v>112</v>
      </c>
      <c r="G27" s="9" t="n">
        <f aca="false">'Master of Price'!$G$24</f>
        <v>130000</v>
      </c>
      <c r="H27" s="9" t="n">
        <f aca="false">E27*G27</f>
        <v>10400</v>
      </c>
    </row>
    <row r="28" customFormat="false" ht="27.75" hidden="false" customHeight="true" outlineLevel="0" collapsed="false">
      <c r="B28" s="10" t="s">
        <v>560</v>
      </c>
      <c r="C28" s="33" t="s">
        <v>120</v>
      </c>
      <c r="D28" s="34" t="n">
        <v>3.9</v>
      </c>
      <c r="E28" s="34" t="n">
        <v>3.9</v>
      </c>
      <c r="F28" s="35" t="s">
        <v>112</v>
      </c>
      <c r="G28" s="12" t="n">
        <f aca="false">'Master of Price'!$G$25</f>
        <v>700000</v>
      </c>
      <c r="H28" s="12" t="n">
        <f aca="false">E28*G28</f>
        <v>2730000</v>
      </c>
    </row>
    <row r="29" customFormat="false" ht="36" hidden="false" customHeight="true" outlineLevel="0" collapsed="false">
      <c r="B29" s="7" t="s">
        <v>561</v>
      </c>
      <c r="C29" s="20" t="s">
        <v>122</v>
      </c>
      <c r="D29" s="32" t="n">
        <v>0.975</v>
      </c>
      <c r="E29" s="32" t="n">
        <v>0.975</v>
      </c>
      <c r="F29" s="21" t="s">
        <v>112</v>
      </c>
      <c r="G29" s="9" t="n">
        <f aca="false">'Master of Price'!$G$26</f>
        <v>1000000</v>
      </c>
      <c r="H29" s="9" t="n">
        <f aca="false">E29*G29</f>
        <v>975000</v>
      </c>
    </row>
    <row r="30" customFormat="false" ht="36" hidden="false" customHeight="true" outlineLevel="0" collapsed="false">
      <c r="B30" s="10" t="s">
        <v>579</v>
      </c>
      <c r="C30" s="33" t="s">
        <v>111</v>
      </c>
      <c r="D30" s="34" t="n">
        <v>0.1</v>
      </c>
      <c r="E30" s="34" t="n">
        <v>0.1</v>
      </c>
      <c r="F30" s="35" t="s">
        <v>112</v>
      </c>
      <c r="G30" s="12" t="n">
        <f aca="false">'Master of Price'!$G$21</f>
        <v>1000000</v>
      </c>
      <c r="H30" s="12" t="n">
        <f aca="false">E30*G30</f>
        <v>100000</v>
      </c>
    </row>
    <row r="31" customFormat="false" ht="25.5" hidden="false" customHeight="true" outlineLevel="0" collapsed="false">
      <c r="B31" s="27" t="s">
        <v>565</v>
      </c>
      <c r="C31" s="27"/>
      <c r="D31" s="27"/>
      <c r="E31" s="27"/>
      <c r="F31" s="27"/>
      <c r="G31" s="27"/>
      <c r="H31" s="14" t="n">
        <f aca="false">H25+H26+H27+H28+H29+H30</f>
        <v>4091325</v>
      </c>
    </row>
    <row r="33" customFormat="false" ht="21.75" hidden="false" customHeight="true" outlineLevel="0" collapsed="false">
      <c r="B33" s="19" t="s">
        <v>566</v>
      </c>
      <c r="C33" s="19"/>
      <c r="D33" s="19"/>
      <c r="E33" s="19"/>
      <c r="F33" s="19"/>
      <c r="G33" s="19"/>
      <c r="H33" s="19"/>
    </row>
    <row r="34" customFormat="false" ht="27.75" hidden="false" customHeight="true" outlineLevel="0" collapsed="false">
      <c r="B34" s="6" t="s">
        <v>16</v>
      </c>
      <c r="C34" s="6" t="s">
        <v>551</v>
      </c>
      <c r="D34" s="6" t="s">
        <v>552</v>
      </c>
      <c r="E34" s="6" t="s">
        <v>553</v>
      </c>
      <c r="F34" s="6" t="s">
        <v>87</v>
      </c>
      <c r="G34" s="6" t="s">
        <v>88</v>
      </c>
      <c r="H34" s="6" t="s">
        <v>554</v>
      </c>
    </row>
    <row r="35" customFormat="false" ht="21.75" hidden="false" customHeight="true" outlineLevel="0" collapsed="false">
      <c r="B35" s="29" t="s">
        <v>555</v>
      </c>
      <c r="C35" s="30" t="s">
        <v>580</v>
      </c>
      <c r="D35" s="31"/>
      <c r="E35" s="31"/>
      <c r="F35" s="31"/>
      <c r="G35" s="31"/>
      <c r="H35" s="31"/>
    </row>
    <row r="36" customFormat="false" ht="36" hidden="false" customHeight="true" outlineLevel="0" collapsed="false">
      <c r="B36" s="7" t="s">
        <v>557</v>
      </c>
      <c r="C36" s="20" t="s">
        <v>133</v>
      </c>
      <c r="D36" s="32" t="n">
        <v>1</v>
      </c>
      <c r="E36" s="32" t="n">
        <v>1</v>
      </c>
      <c r="F36" s="21" t="s">
        <v>128</v>
      </c>
      <c r="G36" s="9" t="n">
        <f aca="false">'Master of Price'!$G$30</f>
        <v>24000000</v>
      </c>
      <c r="H36" s="9" t="n">
        <f aca="false">E36*G36</f>
        <v>24000000</v>
      </c>
    </row>
    <row r="37" customFormat="false" ht="27.75" hidden="false" customHeight="true" outlineLevel="0" collapsed="false">
      <c r="B37" s="10" t="s">
        <v>558</v>
      </c>
      <c r="C37" s="33" t="s">
        <v>135</v>
      </c>
      <c r="D37" s="34" t="n">
        <v>1</v>
      </c>
      <c r="E37" s="34" t="n">
        <v>1</v>
      </c>
      <c r="F37" s="35" t="s">
        <v>131</v>
      </c>
      <c r="G37" s="12" t="n">
        <f aca="false">'Master of Price'!$G$31</f>
        <v>1500000</v>
      </c>
      <c r="H37" s="12" t="n">
        <f aca="false">E37*G37</f>
        <v>1500000</v>
      </c>
    </row>
    <row r="38" customFormat="false" ht="36" hidden="false" customHeight="true" outlineLevel="0" collapsed="false">
      <c r="B38" s="7" t="s">
        <v>559</v>
      </c>
      <c r="C38" s="20" t="s">
        <v>137</v>
      </c>
      <c r="D38" s="32" t="n">
        <v>5</v>
      </c>
      <c r="E38" s="32" t="n">
        <v>5</v>
      </c>
      <c r="F38" s="21" t="s">
        <v>128</v>
      </c>
      <c r="G38" s="9" t="n">
        <f aca="false">'Master of Price'!$G$32</f>
        <v>2100000</v>
      </c>
      <c r="H38" s="9" t="n">
        <f aca="false">E38*G38</f>
        <v>10500000</v>
      </c>
    </row>
    <row r="39" customFormat="false" ht="36" hidden="false" customHeight="true" outlineLevel="0" collapsed="false">
      <c r="B39" s="10" t="s">
        <v>560</v>
      </c>
      <c r="C39" s="33" t="s">
        <v>139</v>
      </c>
      <c r="D39" s="34" t="n">
        <v>1</v>
      </c>
      <c r="E39" s="34" t="n">
        <v>1</v>
      </c>
      <c r="F39" s="35" t="s">
        <v>140</v>
      </c>
      <c r="G39" s="12" t="n">
        <f aca="false">'Master of Price'!$G$33</f>
        <v>4500000</v>
      </c>
      <c r="H39" s="12" t="n">
        <f aca="false">E39*G39</f>
        <v>4500000</v>
      </c>
    </row>
    <row r="40" customFormat="false" ht="36" hidden="false" customHeight="true" outlineLevel="0" collapsed="false">
      <c r="B40" s="7" t="s">
        <v>561</v>
      </c>
      <c r="C40" s="20" t="s">
        <v>142</v>
      </c>
      <c r="D40" s="32" t="n">
        <v>1</v>
      </c>
      <c r="E40" s="32" t="n">
        <v>1</v>
      </c>
      <c r="F40" s="21" t="s">
        <v>131</v>
      </c>
      <c r="G40" s="9" t="n">
        <f aca="false">'Master of Price'!$G$34</f>
        <v>2500000</v>
      </c>
      <c r="H40" s="9" t="n">
        <f aca="false">E40*G40</f>
        <v>2500000</v>
      </c>
    </row>
    <row r="41" customFormat="false" ht="21.75" hidden="false" customHeight="true" outlineLevel="0" collapsed="false">
      <c r="B41" s="10" t="s">
        <v>579</v>
      </c>
      <c r="C41" s="33" t="s">
        <v>568</v>
      </c>
      <c r="D41" s="34" t="n">
        <v>1</v>
      </c>
      <c r="E41" s="34" t="n">
        <v>1</v>
      </c>
      <c r="F41" s="35" t="s">
        <v>131</v>
      </c>
      <c r="G41" s="12" t="n">
        <f aca="false">H45-(H20+H31+H36+H37+H38+H39+H40)</f>
        <v>54109162</v>
      </c>
      <c r="H41" s="12" t="n">
        <f aca="false">E41*G41</f>
        <v>54109162</v>
      </c>
    </row>
    <row r="42" customFormat="false" ht="25.5" hidden="false" customHeight="true" outlineLevel="0" collapsed="false">
      <c r="B42" s="27" t="s">
        <v>569</v>
      </c>
      <c r="C42" s="27"/>
      <c r="D42" s="27"/>
      <c r="E42" s="27"/>
      <c r="F42" s="27"/>
      <c r="G42" s="27"/>
      <c r="H42" s="14" t="n">
        <f aca="false">H36+H37+H38+H39+H40+H41</f>
        <v>97109162</v>
      </c>
    </row>
    <row r="44" customFormat="false" ht="27.75" hidden="false" customHeight="true" outlineLevel="0" collapsed="false">
      <c r="B44" s="13" t="s">
        <v>570</v>
      </c>
      <c r="C44" s="13"/>
      <c r="D44" s="13"/>
      <c r="E44" s="13"/>
      <c r="F44" s="13"/>
      <c r="G44" s="13"/>
      <c r="H44" s="15" t="n">
        <f aca="false">H20+H31+H42</f>
        <v>116200487</v>
      </c>
    </row>
    <row r="45" customFormat="false" ht="21.75" hidden="false" customHeight="true" outlineLevel="0" collapsed="false">
      <c r="B45" s="36" t="s">
        <v>571</v>
      </c>
      <c r="C45" s="36"/>
      <c r="D45" s="36"/>
      <c r="E45" s="36"/>
      <c r="F45" s="36"/>
      <c r="G45" s="36"/>
      <c r="H45" s="37" t="n">
        <f aca="false">RINGKASAN!$J$20</f>
        <v>116200487</v>
      </c>
    </row>
    <row r="46" customFormat="false" ht="21.75" hidden="false" customHeight="true" outlineLevel="0" collapsed="false">
      <c r="B46" s="38" t="s">
        <v>572</v>
      </c>
      <c r="C46" s="38"/>
      <c r="D46" s="38"/>
      <c r="E46" s="38"/>
      <c r="F46" s="38"/>
      <c r="G46" s="38"/>
      <c r="H46" s="9" t="n">
        <f aca="false">H44-H45</f>
        <v>0</v>
      </c>
    </row>
    <row r="47" customFormat="false" ht="21.75" hidden="false" customHeight="true" outlineLevel="0" collapsed="false">
      <c r="B47" s="39" t="s">
        <v>573</v>
      </c>
      <c r="C47" s="39"/>
      <c r="D47" s="39"/>
      <c r="E47" s="39"/>
      <c r="F47" s="39"/>
      <c r="G47" s="39"/>
      <c r="H47" s="10" t="str">
        <f aca="false">IF(H41&lt;0,"OVER BUDGET","OK")</f>
        <v>OK</v>
      </c>
    </row>
  </sheetData>
  <mergeCells count="21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2:H22"/>
    <mergeCell ref="D24:H24"/>
    <mergeCell ref="B31:G31"/>
    <mergeCell ref="B33:H33"/>
    <mergeCell ref="D35:H35"/>
    <mergeCell ref="B42:G42"/>
    <mergeCell ref="B44:G44"/>
    <mergeCell ref="B45:G45"/>
    <mergeCell ref="B46:G46"/>
    <mergeCell ref="B47:G47"/>
  </mergeCells>
  <conditionalFormatting sqref="H4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</cols>
  <sheetData>
    <row r="1" customFormat="false" ht="15" hidden="false" customHeight="false" outlineLevel="0" collapsed="false"/>
    <row r="2" customFormat="false" ht="31.5" hidden="false" customHeight="true" outlineLevel="0" collapsed="false">
      <c r="B2" s="2" t="s">
        <v>595</v>
      </c>
      <c r="C2" s="2"/>
      <c r="D2" s="2"/>
      <c r="E2" s="2"/>
      <c r="F2" s="2"/>
      <c r="G2" s="2"/>
      <c r="H2" s="2"/>
    </row>
    <row r="3" customFormat="false" ht="7.5" hidden="false" customHeight="true" outlineLevel="0" collapsed="false"/>
    <row r="4" customFormat="false" ht="19.5" hidden="false" customHeight="true" outlineLevel="0" collapsed="false">
      <c r="B4" s="3" t="s">
        <v>542</v>
      </c>
      <c r="C4" s="4" t="s">
        <v>596</v>
      </c>
      <c r="D4" s="4"/>
      <c r="E4" s="4"/>
      <c r="F4" s="4"/>
      <c r="G4" s="4"/>
      <c r="H4" s="4"/>
    </row>
    <row r="5" customFormat="false" ht="19.5" hidden="false" customHeight="true" outlineLevel="0" collapsed="false">
      <c r="B5" s="3" t="s">
        <v>544</v>
      </c>
      <c r="C5" s="4" t="s">
        <v>597</v>
      </c>
      <c r="D5" s="4"/>
      <c r="E5" s="4"/>
      <c r="F5" s="4"/>
      <c r="G5" s="4"/>
      <c r="H5" s="4"/>
    </row>
    <row r="6" customFormat="false" ht="19.5" hidden="false" customHeight="true" outlineLevel="0" collapsed="false">
      <c r="B6" s="3" t="s">
        <v>18</v>
      </c>
      <c r="C6" s="4" t="s">
        <v>546</v>
      </c>
      <c r="D6" s="4"/>
      <c r="E6" s="4"/>
      <c r="F6" s="4"/>
      <c r="G6" s="4"/>
      <c r="H6" s="4"/>
    </row>
    <row r="7" customFormat="false" ht="19.5" hidden="false" customHeight="true" outlineLevel="0" collapsed="false">
      <c r="B7" s="3" t="s">
        <v>547</v>
      </c>
      <c r="C7" s="4" t="s">
        <v>548</v>
      </c>
      <c r="D7" s="4"/>
      <c r="E7" s="4"/>
      <c r="F7" s="4"/>
      <c r="G7" s="4"/>
      <c r="H7" s="4"/>
    </row>
    <row r="8" customFormat="false" ht="19.5" hidden="false" customHeight="true" outlineLevel="0" collapsed="false">
      <c r="B8" s="3" t="s">
        <v>549</v>
      </c>
      <c r="C8" s="28" t="n">
        <f aca="false">RINGKASAN!$J$21</f>
        <v>41250000</v>
      </c>
      <c r="D8" s="28"/>
      <c r="E8" s="28"/>
      <c r="F8" s="28"/>
      <c r="G8" s="28"/>
      <c r="H8" s="28"/>
    </row>
    <row r="9" customFormat="false" ht="19.5" hidden="false" customHeight="true" outlineLevel="0" collapsed="false">
      <c r="B9" s="3" t="s">
        <v>79</v>
      </c>
      <c r="C9" s="4" t="s">
        <v>80</v>
      </c>
      <c r="D9" s="4"/>
      <c r="E9" s="4"/>
      <c r="F9" s="4"/>
      <c r="G9" s="4"/>
      <c r="H9" s="4"/>
    </row>
    <row r="10" customFormat="false" ht="19.5" hidden="false" customHeight="true" outlineLevel="0" collapsed="false">
      <c r="B10" s="3" t="s">
        <v>9</v>
      </c>
      <c r="C10" s="4" t="s">
        <v>10</v>
      </c>
      <c r="D10" s="4"/>
      <c r="E10" s="4"/>
      <c r="F10" s="4"/>
      <c r="G10" s="4"/>
      <c r="H10" s="4"/>
    </row>
    <row r="12" customFormat="false" ht="21.75" hidden="false" customHeight="true" outlineLevel="0" collapsed="false">
      <c r="B12" s="19" t="s">
        <v>550</v>
      </c>
      <c r="C12" s="19"/>
      <c r="D12" s="19"/>
      <c r="E12" s="19"/>
      <c r="F12" s="19"/>
      <c r="G12" s="19"/>
      <c r="H12" s="19"/>
    </row>
    <row r="13" customFormat="false" ht="27.75" hidden="false" customHeight="true" outlineLevel="0" collapsed="false">
      <c r="B13" s="6" t="s">
        <v>16</v>
      </c>
      <c r="C13" s="6" t="s">
        <v>551</v>
      </c>
      <c r="D13" s="6" t="s">
        <v>552</v>
      </c>
      <c r="E13" s="6" t="s">
        <v>553</v>
      </c>
      <c r="F13" s="6" t="s">
        <v>87</v>
      </c>
      <c r="G13" s="6" t="s">
        <v>88</v>
      </c>
      <c r="H13" s="6" t="s">
        <v>554</v>
      </c>
    </row>
    <row r="14" customFormat="false" ht="21.75" hidden="false" customHeight="true" outlineLevel="0" collapsed="false">
      <c r="B14" s="29" t="s">
        <v>555</v>
      </c>
      <c r="C14" s="30" t="s">
        <v>556</v>
      </c>
      <c r="D14" s="31"/>
      <c r="E14" s="31"/>
      <c r="F14" s="31"/>
      <c r="G14" s="31"/>
      <c r="H14" s="31"/>
    </row>
    <row r="15" customFormat="false" ht="36" hidden="false" customHeight="true" outlineLevel="0" collapsed="false">
      <c r="B15" s="7" t="s">
        <v>557</v>
      </c>
      <c r="C15" s="20" t="s">
        <v>91</v>
      </c>
      <c r="D15" s="32" t="n">
        <v>40</v>
      </c>
      <c r="E15" s="32" t="n">
        <v>40</v>
      </c>
      <c r="F15" s="21" t="s">
        <v>92</v>
      </c>
      <c r="G15" s="9" t="n">
        <f aca="false">'Master of Price'!$G$12</f>
        <v>352000</v>
      </c>
      <c r="H15" s="9" t="n">
        <f aca="false">E15*G15</f>
        <v>14080000</v>
      </c>
    </row>
    <row r="16" customFormat="false" ht="27.75" hidden="false" customHeight="true" outlineLevel="0" collapsed="false">
      <c r="B16" s="10" t="s">
        <v>558</v>
      </c>
      <c r="C16" s="33" t="s">
        <v>94</v>
      </c>
      <c r="D16" s="34" t="n">
        <v>40</v>
      </c>
      <c r="E16" s="34" t="n">
        <v>40</v>
      </c>
      <c r="F16" s="35" t="s">
        <v>92</v>
      </c>
      <c r="G16" s="12" t="n">
        <f aca="false">'Master of Price'!$G$13</f>
        <v>100000</v>
      </c>
      <c r="H16" s="12" t="n">
        <f aca="false">E16*G16</f>
        <v>4000000</v>
      </c>
    </row>
    <row r="17" customFormat="false" ht="27.75" hidden="false" customHeight="true" outlineLevel="0" collapsed="false">
      <c r="B17" s="7" t="s">
        <v>559</v>
      </c>
      <c r="C17" s="20" t="s">
        <v>96</v>
      </c>
      <c r="D17" s="32" t="n">
        <v>40</v>
      </c>
      <c r="E17" s="32" t="n">
        <v>40</v>
      </c>
      <c r="F17" s="21" t="s">
        <v>92</v>
      </c>
      <c r="G17" s="9" t="n">
        <f aca="false">'Master of Price'!$G$14</f>
        <v>28000</v>
      </c>
      <c r="H17" s="9" t="n">
        <f aca="false">E17*G17</f>
        <v>1120000</v>
      </c>
    </row>
    <row r="18" customFormat="false" ht="27.75" hidden="false" customHeight="true" outlineLevel="0" collapsed="false">
      <c r="B18" s="10" t="s">
        <v>560</v>
      </c>
      <c r="C18" s="33" t="s">
        <v>98</v>
      </c>
      <c r="D18" s="34" t="n">
        <v>40</v>
      </c>
      <c r="E18" s="34" t="n">
        <v>40</v>
      </c>
      <c r="F18" s="35" t="s">
        <v>92</v>
      </c>
      <c r="G18" s="12" t="n">
        <f aca="false">'Master of Price'!$G$15</f>
        <v>45000</v>
      </c>
      <c r="H18" s="12" t="n">
        <f aca="false">E18*G18</f>
        <v>1800000</v>
      </c>
    </row>
    <row r="19" customFormat="false" ht="27.75" hidden="false" customHeight="true" outlineLevel="0" collapsed="false">
      <c r="B19" s="7" t="s">
        <v>561</v>
      </c>
      <c r="C19" s="20" t="s">
        <v>100</v>
      </c>
      <c r="D19" s="32" t="n">
        <v>40</v>
      </c>
      <c r="E19" s="32" t="n">
        <v>40</v>
      </c>
      <c r="F19" s="21" t="s">
        <v>92</v>
      </c>
      <c r="G19" s="9" t="n">
        <f aca="false">'Master of Price'!$G$16</f>
        <v>75000</v>
      </c>
      <c r="H19" s="9" t="n">
        <f aca="false">E19*G19</f>
        <v>3000000</v>
      </c>
    </row>
    <row r="20" customFormat="false" ht="25.5" hidden="false" customHeight="true" outlineLevel="0" collapsed="false">
      <c r="B20" s="27" t="s">
        <v>562</v>
      </c>
      <c r="C20" s="27"/>
      <c r="D20" s="27"/>
      <c r="E20" s="27"/>
      <c r="F20" s="27"/>
      <c r="G20" s="27"/>
      <c r="H20" s="14" t="n">
        <f aca="false">H15+H16+H17+H18+H19</f>
        <v>24000000</v>
      </c>
    </row>
    <row r="22" customFormat="false" ht="21.75" hidden="false" customHeight="true" outlineLevel="0" collapsed="false">
      <c r="B22" s="19" t="s">
        <v>563</v>
      </c>
      <c r="C22" s="19"/>
      <c r="D22" s="19"/>
      <c r="E22" s="19"/>
      <c r="F22" s="19"/>
      <c r="G22" s="19"/>
      <c r="H22" s="19"/>
    </row>
    <row r="23" customFormat="false" ht="27.75" hidden="false" customHeight="true" outlineLevel="0" collapsed="false">
      <c r="B23" s="6" t="s">
        <v>16</v>
      </c>
      <c r="C23" s="6" t="s">
        <v>551</v>
      </c>
      <c r="D23" s="6" t="s">
        <v>552</v>
      </c>
      <c r="E23" s="6" t="s">
        <v>553</v>
      </c>
      <c r="F23" s="6" t="s">
        <v>87</v>
      </c>
      <c r="G23" s="6" t="s">
        <v>88</v>
      </c>
      <c r="H23" s="6" t="s">
        <v>554</v>
      </c>
    </row>
    <row r="24" customFormat="false" ht="21.75" hidden="false" customHeight="true" outlineLevel="0" collapsed="false">
      <c r="B24" s="29" t="s">
        <v>555</v>
      </c>
      <c r="C24" s="30" t="s">
        <v>564</v>
      </c>
      <c r="D24" s="31"/>
      <c r="E24" s="31"/>
      <c r="F24" s="31"/>
      <c r="G24" s="31"/>
      <c r="H24" s="31"/>
    </row>
    <row r="25" customFormat="false" ht="36" hidden="false" customHeight="true" outlineLevel="0" collapsed="false">
      <c r="B25" s="7" t="s">
        <v>557</v>
      </c>
      <c r="C25" s="20" t="s">
        <v>111</v>
      </c>
      <c r="D25" s="32" t="n">
        <v>0.1</v>
      </c>
      <c r="E25" s="32" t="n">
        <v>0.1</v>
      </c>
      <c r="F25" s="21" t="s">
        <v>112</v>
      </c>
      <c r="G25" s="9" t="n">
        <f aca="false">'Master of Price'!$G$21</f>
        <v>1000000</v>
      </c>
      <c r="H25" s="9" t="n">
        <f aca="false">E25*G25</f>
        <v>100000</v>
      </c>
    </row>
    <row r="26" customFormat="false" ht="36" hidden="false" customHeight="true" outlineLevel="0" collapsed="false">
      <c r="B26" s="10" t="s">
        <v>558</v>
      </c>
      <c r="C26" s="33" t="s">
        <v>124</v>
      </c>
      <c r="D26" s="34" t="n">
        <v>2</v>
      </c>
      <c r="E26" s="34" t="n">
        <v>2</v>
      </c>
      <c r="F26" s="35" t="s">
        <v>112</v>
      </c>
      <c r="G26" s="12" t="n">
        <f aca="false">'Master of Price'!$G$27</f>
        <v>1200000</v>
      </c>
      <c r="H26" s="12" t="n">
        <f aca="false">E26*G26</f>
        <v>2400000</v>
      </c>
    </row>
    <row r="27" customFormat="false" ht="25.5" hidden="false" customHeight="true" outlineLevel="0" collapsed="false">
      <c r="B27" s="27" t="s">
        <v>565</v>
      </c>
      <c r="C27" s="27"/>
      <c r="D27" s="27"/>
      <c r="E27" s="27"/>
      <c r="F27" s="27"/>
      <c r="G27" s="27"/>
      <c r="H27" s="14" t="n">
        <f aca="false">H25+H26</f>
        <v>2500000</v>
      </c>
    </row>
    <row r="29" customFormat="false" ht="21.75" hidden="false" customHeight="true" outlineLevel="0" collapsed="false">
      <c r="B29" s="19" t="s">
        <v>566</v>
      </c>
      <c r="C29" s="19"/>
      <c r="D29" s="19"/>
      <c r="E29" s="19"/>
      <c r="F29" s="19"/>
      <c r="G29" s="19"/>
      <c r="H29" s="19"/>
    </row>
    <row r="30" customFormat="false" ht="27.75" hidden="false" customHeight="true" outlineLevel="0" collapsed="false">
      <c r="B30" s="6" t="s">
        <v>16</v>
      </c>
      <c r="C30" s="6" t="s">
        <v>551</v>
      </c>
      <c r="D30" s="6" t="s">
        <v>552</v>
      </c>
      <c r="E30" s="6" t="s">
        <v>553</v>
      </c>
      <c r="F30" s="6" t="s">
        <v>87</v>
      </c>
      <c r="G30" s="6" t="s">
        <v>88</v>
      </c>
      <c r="H30" s="6" t="s">
        <v>554</v>
      </c>
    </row>
    <row r="31" customFormat="false" ht="21.75" hidden="false" customHeight="true" outlineLevel="0" collapsed="false">
      <c r="B31" s="29" t="s">
        <v>555</v>
      </c>
      <c r="C31" s="30" t="s">
        <v>567</v>
      </c>
      <c r="D31" s="31"/>
      <c r="E31" s="31"/>
      <c r="F31" s="31"/>
      <c r="G31" s="31"/>
      <c r="H31" s="31"/>
    </row>
    <row r="32" customFormat="false" ht="36" hidden="false" customHeight="true" outlineLevel="0" collapsed="false">
      <c r="B32" s="7" t="s">
        <v>557</v>
      </c>
      <c r="C32" s="20" t="s">
        <v>127</v>
      </c>
      <c r="D32" s="32" t="n">
        <v>1</v>
      </c>
      <c r="E32" s="32" t="n">
        <v>1</v>
      </c>
      <c r="F32" s="21" t="s">
        <v>128</v>
      </c>
      <c r="G32" s="9" t="n">
        <f aca="false">'Master of Price'!$G$28</f>
        <v>12500000</v>
      </c>
      <c r="H32" s="9" t="n">
        <f aca="false">E32*G32</f>
        <v>12500000</v>
      </c>
    </row>
    <row r="33" customFormat="false" ht="36" hidden="false" customHeight="true" outlineLevel="0" collapsed="false">
      <c r="B33" s="10" t="s">
        <v>558</v>
      </c>
      <c r="C33" s="33" t="s">
        <v>130</v>
      </c>
      <c r="D33" s="34" t="n">
        <v>1</v>
      </c>
      <c r="E33" s="34" t="n">
        <v>1</v>
      </c>
      <c r="F33" s="35" t="s">
        <v>131</v>
      </c>
      <c r="G33" s="12" t="n">
        <f aca="false">'Master of Price'!$G$29</f>
        <v>1500000</v>
      </c>
      <c r="H33" s="12" t="n">
        <f aca="false">E33*G33</f>
        <v>1500000</v>
      </c>
    </row>
    <row r="34" customFormat="false" ht="21.75" hidden="false" customHeight="true" outlineLevel="0" collapsed="false">
      <c r="B34" s="7" t="s">
        <v>559</v>
      </c>
      <c r="C34" s="20" t="s">
        <v>568</v>
      </c>
      <c r="D34" s="32" t="n">
        <v>1</v>
      </c>
      <c r="E34" s="32" t="n">
        <v>1</v>
      </c>
      <c r="F34" s="21" t="s">
        <v>131</v>
      </c>
      <c r="G34" s="9" t="n">
        <f aca="false">H38-(H20+H27+H32+H33)</f>
        <v>750000</v>
      </c>
      <c r="H34" s="9" t="n">
        <f aca="false">E34*G34</f>
        <v>750000</v>
      </c>
    </row>
    <row r="35" customFormat="false" ht="25.5" hidden="false" customHeight="true" outlineLevel="0" collapsed="false">
      <c r="B35" s="27" t="s">
        <v>569</v>
      </c>
      <c r="C35" s="27"/>
      <c r="D35" s="27"/>
      <c r="E35" s="27"/>
      <c r="F35" s="27"/>
      <c r="G35" s="27"/>
      <c r="H35" s="14" t="n">
        <f aca="false">H32+H33+H34</f>
        <v>14750000</v>
      </c>
    </row>
    <row r="37" customFormat="false" ht="27.75" hidden="false" customHeight="true" outlineLevel="0" collapsed="false">
      <c r="B37" s="13" t="s">
        <v>570</v>
      </c>
      <c r="C37" s="13"/>
      <c r="D37" s="13"/>
      <c r="E37" s="13"/>
      <c r="F37" s="13"/>
      <c r="G37" s="13"/>
      <c r="H37" s="15" t="n">
        <f aca="false">H20+H27+H35</f>
        <v>41250000</v>
      </c>
    </row>
    <row r="38" customFormat="false" ht="21.75" hidden="false" customHeight="true" outlineLevel="0" collapsed="false">
      <c r="B38" s="36" t="s">
        <v>571</v>
      </c>
      <c r="C38" s="36"/>
      <c r="D38" s="36"/>
      <c r="E38" s="36"/>
      <c r="F38" s="36"/>
      <c r="G38" s="36"/>
      <c r="H38" s="37" t="n">
        <f aca="false">RINGKASAN!$J$21</f>
        <v>41250000</v>
      </c>
    </row>
    <row r="39" customFormat="false" ht="21.75" hidden="false" customHeight="true" outlineLevel="0" collapsed="false">
      <c r="B39" s="38" t="s">
        <v>572</v>
      </c>
      <c r="C39" s="38"/>
      <c r="D39" s="38"/>
      <c r="E39" s="38"/>
      <c r="F39" s="38"/>
      <c r="G39" s="38"/>
      <c r="H39" s="9" t="n">
        <f aca="false">H37-H38</f>
        <v>0</v>
      </c>
    </row>
    <row r="40" customFormat="false" ht="21.75" hidden="false" customHeight="true" outlineLevel="0" collapsed="false">
      <c r="B40" s="39" t="s">
        <v>573</v>
      </c>
      <c r="C40" s="39"/>
      <c r="D40" s="39"/>
      <c r="E40" s="39"/>
      <c r="F40" s="39"/>
      <c r="G40" s="39"/>
      <c r="H40" s="10" t="str">
        <f aca="false">IF(H34&lt;0,"OVER BUDGET","OK")</f>
        <v>OK</v>
      </c>
    </row>
  </sheetData>
  <mergeCells count="21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2:H22"/>
    <mergeCell ref="D24:H24"/>
    <mergeCell ref="B27:G27"/>
    <mergeCell ref="B29:H29"/>
    <mergeCell ref="D31:H31"/>
    <mergeCell ref="B35:G35"/>
    <mergeCell ref="B37:G37"/>
    <mergeCell ref="B38:G38"/>
    <mergeCell ref="B39:G39"/>
    <mergeCell ref="B40:G40"/>
  </mergeCells>
  <conditionalFormatting sqref="H40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</cols>
  <sheetData>
    <row r="1" customFormat="false" ht="15" hidden="false" customHeight="false" outlineLevel="0" collapsed="false"/>
    <row r="2" customFormat="false" ht="31.5" hidden="false" customHeight="true" outlineLevel="0" collapsed="false">
      <c r="B2" s="2" t="s">
        <v>598</v>
      </c>
      <c r="C2" s="2"/>
      <c r="D2" s="2"/>
      <c r="E2" s="2"/>
      <c r="F2" s="2"/>
      <c r="G2" s="2"/>
      <c r="H2" s="2"/>
    </row>
    <row r="3" customFormat="false" ht="7.5" hidden="false" customHeight="true" outlineLevel="0" collapsed="false"/>
    <row r="4" customFormat="false" ht="19.5" hidden="false" customHeight="true" outlineLevel="0" collapsed="false">
      <c r="B4" s="3" t="s">
        <v>542</v>
      </c>
      <c r="C4" s="4" t="s">
        <v>599</v>
      </c>
      <c r="D4" s="4"/>
      <c r="E4" s="4"/>
      <c r="F4" s="4"/>
      <c r="G4" s="4"/>
      <c r="H4" s="4"/>
    </row>
    <row r="5" customFormat="false" ht="19.5" hidden="false" customHeight="true" outlineLevel="0" collapsed="false">
      <c r="B5" s="3" t="s">
        <v>544</v>
      </c>
      <c r="C5" s="4" t="s">
        <v>600</v>
      </c>
      <c r="D5" s="4"/>
      <c r="E5" s="4"/>
      <c r="F5" s="4"/>
      <c r="G5" s="4"/>
      <c r="H5" s="4"/>
    </row>
    <row r="6" customFormat="false" ht="19.5" hidden="false" customHeight="true" outlineLevel="0" collapsed="false">
      <c r="B6" s="3" t="s">
        <v>18</v>
      </c>
      <c r="C6" s="4" t="s">
        <v>577</v>
      </c>
      <c r="D6" s="4"/>
      <c r="E6" s="4"/>
      <c r="F6" s="4"/>
      <c r="G6" s="4"/>
      <c r="H6" s="4"/>
    </row>
    <row r="7" customFormat="false" ht="19.5" hidden="false" customHeight="true" outlineLevel="0" collapsed="false">
      <c r="B7" s="3" t="s">
        <v>547</v>
      </c>
      <c r="C7" s="4" t="s">
        <v>601</v>
      </c>
      <c r="D7" s="4"/>
      <c r="E7" s="4"/>
      <c r="F7" s="4"/>
      <c r="G7" s="4"/>
      <c r="H7" s="4"/>
    </row>
    <row r="8" customFormat="false" ht="19.5" hidden="false" customHeight="true" outlineLevel="0" collapsed="false">
      <c r="B8" s="3" t="s">
        <v>549</v>
      </c>
      <c r="C8" s="28" t="n">
        <f aca="false">RINGKASAN!$J$22</f>
        <v>74785598</v>
      </c>
      <c r="D8" s="28"/>
      <c r="E8" s="28"/>
      <c r="F8" s="28"/>
      <c r="G8" s="28"/>
      <c r="H8" s="28"/>
    </row>
    <row r="9" customFormat="false" ht="19.5" hidden="false" customHeight="true" outlineLevel="0" collapsed="false">
      <c r="B9" s="3" t="s">
        <v>79</v>
      </c>
      <c r="C9" s="4" t="s">
        <v>80</v>
      </c>
      <c r="D9" s="4"/>
      <c r="E9" s="4"/>
      <c r="F9" s="4"/>
      <c r="G9" s="4"/>
      <c r="H9" s="4"/>
    </row>
    <row r="10" customFormat="false" ht="19.5" hidden="false" customHeight="true" outlineLevel="0" collapsed="false">
      <c r="B10" s="3" t="s">
        <v>9</v>
      </c>
      <c r="C10" s="4" t="s">
        <v>10</v>
      </c>
      <c r="D10" s="4"/>
      <c r="E10" s="4"/>
      <c r="F10" s="4"/>
      <c r="G10" s="4"/>
      <c r="H10" s="4"/>
    </row>
    <row r="12" customFormat="false" ht="21.75" hidden="false" customHeight="true" outlineLevel="0" collapsed="false">
      <c r="B12" s="19" t="s">
        <v>550</v>
      </c>
      <c r="C12" s="19"/>
      <c r="D12" s="19"/>
      <c r="E12" s="19"/>
      <c r="F12" s="19"/>
      <c r="G12" s="19"/>
      <c r="H12" s="19"/>
    </row>
    <row r="13" customFormat="false" ht="27.75" hidden="false" customHeight="true" outlineLevel="0" collapsed="false">
      <c r="B13" s="6" t="s">
        <v>16</v>
      </c>
      <c r="C13" s="6" t="s">
        <v>551</v>
      </c>
      <c r="D13" s="6" t="s">
        <v>552</v>
      </c>
      <c r="E13" s="6" t="s">
        <v>553</v>
      </c>
      <c r="F13" s="6" t="s">
        <v>87</v>
      </c>
      <c r="G13" s="6" t="s">
        <v>88</v>
      </c>
      <c r="H13" s="6" t="s">
        <v>554</v>
      </c>
    </row>
    <row r="14" customFormat="false" ht="21.75" hidden="false" customHeight="true" outlineLevel="0" collapsed="false">
      <c r="B14" s="29" t="s">
        <v>555</v>
      </c>
      <c r="C14" s="30" t="s">
        <v>556</v>
      </c>
      <c r="D14" s="31"/>
      <c r="E14" s="31"/>
      <c r="F14" s="31"/>
      <c r="G14" s="31"/>
      <c r="H14" s="31"/>
    </row>
    <row r="15" customFormat="false" ht="36" hidden="false" customHeight="true" outlineLevel="0" collapsed="false">
      <c r="B15" s="7" t="s">
        <v>557</v>
      </c>
      <c r="C15" s="20" t="s">
        <v>104</v>
      </c>
      <c r="D15" s="32" t="n">
        <v>34</v>
      </c>
      <c r="E15" s="32" t="n">
        <v>34</v>
      </c>
      <c r="F15" s="21" t="s">
        <v>92</v>
      </c>
      <c r="G15" s="9" t="n">
        <f aca="false">'Master of Price'!$G$18</f>
        <v>352000</v>
      </c>
      <c r="H15" s="9" t="n">
        <f aca="false">E15*G15</f>
        <v>11968000</v>
      </c>
    </row>
    <row r="16" customFormat="false" ht="27.75" hidden="false" customHeight="true" outlineLevel="0" collapsed="false">
      <c r="B16" s="10" t="s">
        <v>558</v>
      </c>
      <c r="C16" s="33" t="s">
        <v>94</v>
      </c>
      <c r="D16" s="34" t="n">
        <v>34</v>
      </c>
      <c r="E16" s="34" t="n">
        <v>34</v>
      </c>
      <c r="F16" s="35" t="s">
        <v>92</v>
      </c>
      <c r="G16" s="12" t="n">
        <f aca="false">'Master of Price'!$G$13</f>
        <v>100000</v>
      </c>
      <c r="H16" s="12" t="n">
        <f aca="false">E16*G16</f>
        <v>3400000</v>
      </c>
    </row>
    <row r="17" customFormat="false" ht="27.75" hidden="false" customHeight="true" outlineLevel="0" collapsed="false">
      <c r="B17" s="7" t="s">
        <v>559</v>
      </c>
      <c r="C17" s="20" t="s">
        <v>96</v>
      </c>
      <c r="D17" s="32" t="n">
        <v>34</v>
      </c>
      <c r="E17" s="32" t="n">
        <v>34</v>
      </c>
      <c r="F17" s="21" t="s">
        <v>92</v>
      </c>
      <c r="G17" s="9" t="n">
        <f aca="false">'Master of Price'!$G$14</f>
        <v>28000</v>
      </c>
      <c r="H17" s="9" t="n">
        <f aca="false">E17*G17</f>
        <v>952000</v>
      </c>
    </row>
    <row r="18" customFormat="false" ht="27.75" hidden="false" customHeight="true" outlineLevel="0" collapsed="false">
      <c r="B18" s="10" t="s">
        <v>560</v>
      </c>
      <c r="C18" s="33" t="s">
        <v>98</v>
      </c>
      <c r="D18" s="34" t="n">
        <v>34</v>
      </c>
      <c r="E18" s="34" t="n">
        <v>34</v>
      </c>
      <c r="F18" s="35" t="s">
        <v>92</v>
      </c>
      <c r="G18" s="12" t="n">
        <f aca="false">'Master of Price'!$G$15</f>
        <v>45000</v>
      </c>
      <c r="H18" s="12" t="n">
        <f aca="false">E18*G18</f>
        <v>1530000</v>
      </c>
    </row>
    <row r="19" customFormat="false" ht="27.75" hidden="false" customHeight="true" outlineLevel="0" collapsed="false">
      <c r="B19" s="7" t="s">
        <v>561</v>
      </c>
      <c r="C19" s="20" t="s">
        <v>100</v>
      </c>
      <c r="D19" s="32" t="n">
        <v>34</v>
      </c>
      <c r="E19" s="32" t="n">
        <v>34</v>
      </c>
      <c r="F19" s="21" t="s">
        <v>92</v>
      </c>
      <c r="G19" s="9" t="n">
        <f aca="false">'Master of Price'!$G$16</f>
        <v>75000</v>
      </c>
      <c r="H19" s="9" t="n">
        <f aca="false">E19*G19</f>
        <v>2550000</v>
      </c>
    </row>
    <row r="20" customFormat="false" ht="25.5" hidden="false" customHeight="true" outlineLevel="0" collapsed="false">
      <c r="B20" s="27" t="s">
        <v>562</v>
      </c>
      <c r="C20" s="27"/>
      <c r="D20" s="27"/>
      <c r="E20" s="27"/>
      <c r="F20" s="27"/>
      <c r="G20" s="27"/>
      <c r="H20" s="14" t="n">
        <f aca="false">H15+H16+H17+H18+H19</f>
        <v>20400000</v>
      </c>
    </row>
    <row r="22" customFormat="false" ht="21.75" hidden="false" customHeight="true" outlineLevel="0" collapsed="false">
      <c r="B22" s="19" t="s">
        <v>563</v>
      </c>
      <c r="C22" s="19"/>
      <c r="D22" s="19"/>
      <c r="E22" s="19"/>
      <c r="F22" s="19"/>
      <c r="G22" s="19"/>
      <c r="H22" s="19"/>
    </row>
    <row r="23" customFormat="false" ht="27.75" hidden="false" customHeight="true" outlineLevel="0" collapsed="false">
      <c r="B23" s="6" t="s">
        <v>16</v>
      </c>
      <c r="C23" s="6" t="s">
        <v>551</v>
      </c>
      <c r="D23" s="6" t="s">
        <v>552</v>
      </c>
      <c r="E23" s="6" t="s">
        <v>553</v>
      </c>
      <c r="F23" s="6" t="s">
        <v>87</v>
      </c>
      <c r="G23" s="6" t="s">
        <v>88</v>
      </c>
      <c r="H23" s="6" t="s">
        <v>554</v>
      </c>
    </row>
    <row r="24" customFormat="false" ht="21.75" hidden="false" customHeight="true" outlineLevel="0" collapsed="false">
      <c r="B24" s="29" t="s">
        <v>555</v>
      </c>
      <c r="C24" s="30" t="s">
        <v>564</v>
      </c>
      <c r="D24" s="31"/>
      <c r="E24" s="31"/>
      <c r="F24" s="31"/>
      <c r="G24" s="31"/>
      <c r="H24" s="31"/>
    </row>
    <row r="25" customFormat="false" ht="27.75" hidden="false" customHeight="true" outlineLevel="0" collapsed="false">
      <c r="B25" s="7" t="s">
        <v>557</v>
      </c>
      <c r="C25" s="20" t="s">
        <v>114</v>
      </c>
      <c r="D25" s="32" t="n">
        <v>5.07</v>
      </c>
      <c r="E25" s="32" t="n">
        <v>5.07</v>
      </c>
      <c r="F25" s="21" t="s">
        <v>112</v>
      </c>
      <c r="G25" s="9" t="n">
        <f aca="false">'Master of Price'!$G$22</f>
        <v>47500</v>
      </c>
      <c r="H25" s="9" t="n">
        <f aca="false">E25*G25</f>
        <v>240825</v>
      </c>
    </row>
    <row r="26" customFormat="false" ht="21.75" hidden="false" customHeight="true" outlineLevel="0" collapsed="false">
      <c r="B26" s="10" t="s">
        <v>558</v>
      </c>
      <c r="C26" s="33" t="s">
        <v>116</v>
      </c>
      <c r="D26" s="34" t="n">
        <v>0.39</v>
      </c>
      <c r="E26" s="34" t="n">
        <v>0.39</v>
      </c>
      <c r="F26" s="35" t="s">
        <v>112</v>
      </c>
      <c r="G26" s="12" t="n">
        <f aca="false">'Master of Price'!$G$23</f>
        <v>90000</v>
      </c>
      <c r="H26" s="12" t="n">
        <f aca="false">E26*G26</f>
        <v>35100</v>
      </c>
    </row>
    <row r="27" customFormat="false" ht="21.75" hidden="false" customHeight="true" outlineLevel="0" collapsed="false">
      <c r="B27" s="7" t="s">
        <v>559</v>
      </c>
      <c r="C27" s="20" t="s">
        <v>118</v>
      </c>
      <c r="D27" s="32" t="n">
        <v>0.08</v>
      </c>
      <c r="E27" s="32" t="n">
        <v>0.08</v>
      </c>
      <c r="F27" s="21" t="s">
        <v>112</v>
      </c>
      <c r="G27" s="9" t="n">
        <f aca="false">'Master of Price'!$G$24</f>
        <v>130000</v>
      </c>
      <c r="H27" s="9" t="n">
        <f aca="false">E27*G27</f>
        <v>10400</v>
      </c>
    </row>
    <row r="28" customFormat="false" ht="27.75" hidden="false" customHeight="true" outlineLevel="0" collapsed="false">
      <c r="B28" s="10" t="s">
        <v>560</v>
      </c>
      <c r="C28" s="33" t="s">
        <v>120</v>
      </c>
      <c r="D28" s="34" t="n">
        <v>3.9</v>
      </c>
      <c r="E28" s="34" t="n">
        <v>3.9</v>
      </c>
      <c r="F28" s="35" t="s">
        <v>112</v>
      </c>
      <c r="G28" s="12" t="n">
        <f aca="false">'Master of Price'!$G$25</f>
        <v>700000</v>
      </c>
      <c r="H28" s="12" t="n">
        <f aca="false">E28*G28</f>
        <v>2730000</v>
      </c>
    </row>
    <row r="29" customFormat="false" ht="36" hidden="false" customHeight="true" outlineLevel="0" collapsed="false">
      <c r="B29" s="7" t="s">
        <v>561</v>
      </c>
      <c r="C29" s="20" t="s">
        <v>122</v>
      </c>
      <c r="D29" s="32" t="n">
        <v>0.975</v>
      </c>
      <c r="E29" s="32" t="n">
        <v>0.975</v>
      </c>
      <c r="F29" s="21" t="s">
        <v>112</v>
      </c>
      <c r="G29" s="9" t="n">
        <f aca="false">'Master of Price'!$G$26</f>
        <v>1000000</v>
      </c>
      <c r="H29" s="9" t="n">
        <f aca="false">E29*G29</f>
        <v>975000</v>
      </c>
    </row>
    <row r="30" customFormat="false" ht="36" hidden="false" customHeight="true" outlineLevel="0" collapsed="false">
      <c r="B30" s="10" t="s">
        <v>579</v>
      </c>
      <c r="C30" s="33" t="s">
        <v>111</v>
      </c>
      <c r="D30" s="34" t="n">
        <v>0.1</v>
      </c>
      <c r="E30" s="34" t="n">
        <v>0.1</v>
      </c>
      <c r="F30" s="35" t="s">
        <v>112</v>
      </c>
      <c r="G30" s="12" t="n">
        <f aca="false">'Master of Price'!$G$21</f>
        <v>1000000</v>
      </c>
      <c r="H30" s="12" t="n">
        <f aca="false">E30*G30</f>
        <v>100000</v>
      </c>
    </row>
    <row r="31" customFormat="false" ht="25.5" hidden="false" customHeight="true" outlineLevel="0" collapsed="false">
      <c r="B31" s="27" t="s">
        <v>565</v>
      </c>
      <c r="C31" s="27"/>
      <c r="D31" s="27"/>
      <c r="E31" s="27"/>
      <c r="F31" s="27"/>
      <c r="G31" s="27"/>
      <c r="H31" s="14" t="n">
        <f aca="false">H25+H26+H27+H28+H29+H30</f>
        <v>4091325</v>
      </c>
    </row>
    <row r="33" customFormat="false" ht="21.75" hidden="false" customHeight="true" outlineLevel="0" collapsed="false">
      <c r="B33" s="19" t="s">
        <v>566</v>
      </c>
      <c r="C33" s="19"/>
      <c r="D33" s="19"/>
      <c r="E33" s="19"/>
      <c r="F33" s="19"/>
      <c r="G33" s="19"/>
      <c r="H33" s="19"/>
    </row>
    <row r="34" customFormat="false" ht="27.75" hidden="false" customHeight="true" outlineLevel="0" collapsed="false">
      <c r="B34" s="6" t="s">
        <v>16</v>
      </c>
      <c r="C34" s="6" t="s">
        <v>551</v>
      </c>
      <c r="D34" s="6" t="s">
        <v>552</v>
      </c>
      <c r="E34" s="6" t="s">
        <v>553</v>
      </c>
      <c r="F34" s="6" t="s">
        <v>87</v>
      </c>
      <c r="G34" s="6" t="s">
        <v>88</v>
      </c>
      <c r="H34" s="6" t="s">
        <v>554</v>
      </c>
    </row>
    <row r="35" customFormat="false" ht="21.75" hidden="false" customHeight="true" outlineLevel="0" collapsed="false">
      <c r="B35" s="29" t="s">
        <v>555</v>
      </c>
      <c r="C35" s="30" t="s">
        <v>580</v>
      </c>
      <c r="D35" s="31"/>
      <c r="E35" s="31"/>
      <c r="F35" s="31"/>
      <c r="G35" s="31"/>
      <c r="H35" s="31"/>
    </row>
    <row r="36" customFormat="false" ht="36" hidden="false" customHeight="true" outlineLevel="0" collapsed="false">
      <c r="B36" s="7" t="s">
        <v>557</v>
      </c>
      <c r="C36" s="20" t="s">
        <v>133</v>
      </c>
      <c r="D36" s="32" t="n">
        <v>1</v>
      </c>
      <c r="E36" s="32" t="n">
        <v>1</v>
      </c>
      <c r="F36" s="21" t="s">
        <v>128</v>
      </c>
      <c r="G36" s="9" t="n">
        <f aca="false">'Master of Price'!$G$30</f>
        <v>24000000</v>
      </c>
      <c r="H36" s="9" t="n">
        <f aca="false">E36*G36</f>
        <v>24000000</v>
      </c>
    </row>
    <row r="37" customFormat="false" ht="27.75" hidden="false" customHeight="true" outlineLevel="0" collapsed="false">
      <c r="B37" s="10" t="s">
        <v>558</v>
      </c>
      <c r="C37" s="33" t="s">
        <v>135</v>
      </c>
      <c r="D37" s="34" t="n">
        <v>1</v>
      </c>
      <c r="E37" s="34" t="n">
        <v>1</v>
      </c>
      <c r="F37" s="35" t="s">
        <v>131</v>
      </c>
      <c r="G37" s="12" t="n">
        <f aca="false">'Master of Price'!$G$31</f>
        <v>1500000</v>
      </c>
      <c r="H37" s="12" t="n">
        <f aca="false">E37*G37</f>
        <v>1500000</v>
      </c>
    </row>
    <row r="38" customFormat="false" ht="36" hidden="false" customHeight="true" outlineLevel="0" collapsed="false">
      <c r="B38" s="7" t="s">
        <v>559</v>
      </c>
      <c r="C38" s="20" t="s">
        <v>137</v>
      </c>
      <c r="D38" s="32" t="n">
        <v>5</v>
      </c>
      <c r="E38" s="32" t="n">
        <v>5</v>
      </c>
      <c r="F38" s="21" t="s">
        <v>128</v>
      </c>
      <c r="G38" s="9" t="n">
        <f aca="false">'Master of Price'!$G$32</f>
        <v>2100000</v>
      </c>
      <c r="H38" s="9" t="n">
        <f aca="false">E38*G38</f>
        <v>10500000</v>
      </c>
    </row>
    <row r="39" customFormat="false" ht="36" hidden="false" customHeight="true" outlineLevel="0" collapsed="false">
      <c r="B39" s="10" t="s">
        <v>560</v>
      </c>
      <c r="C39" s="33" t="s">
        <v>139</v>
      </c>
      <c r="D39" s="34" t="n">
        <v>1</v>
      </c>
      <c r="E39" s="34" t="n">
        <v>1</v>
      </c>
      <c r="F39" s="35" t="s">
        <v>140</v>
      </c>
      <c r="G39" s="12" t="n">
        <f aca="false">'Master of Price'!$G$33</f>
        <v>4500000</v>
      </c>
      <c r="H39" s="12" t="n">
        <f aca="false">E39*G39</f>
        <v>4500000</v>
      </c>
    </row>
    <row r="40" customFormat="false" ht="36" hidden="false" customHeight="true" outlineLevel="0" collapsed="false">
      <c r="B40" s="7" t="s">
        <v>561</v>
      </c>
      <c r="C40" s="20" t="s">
        <v>142</v>
      </c>
      <c r="D40" s="32" t="n">
        <v>1</v>
      </c>
      <c r="E40" s="32" t="n">
        <v>1</v>
      </c>
      <c r="F40" s="21" t="s">
        <v>131</v>
      </c>
      <c r="G40" s="9" t="n">
        <f aca="false">'Master of Price'!$G$34</f>
        <v>2500000</v>
      </c>
      <c r="H40" s="9" t="n">
        <f aca="false">E40*G40</f>
        <v>2500000</v>
      </c>
    </row>
    <row r="41" customFormat="false" ht="21.75" hidden="false" customHeight="true" outlineLevel="0" collapsed="false">
      <c r="B41" s="10" t="s">
        <v>579</v>
      </c>
      <c r="C41" s="33" t="s">
        <v>568</v>
      </c>
      <c r="D41" s="34" t="n">
        <v>1</v>
      </c>
      <c r="E41" s="34" t="n">
        <v>1</v>
      </c>
      <c r="F41" s="35" t="s">
        <v>131</v>
      </c>
      <c r="G41" s="12" t="n">
        <f aca="false">H45-(H20+H31+H36+H37+H38+H39+H40)</f>
        <v>7294273</v>
      </c>
      <c r="H41" s="12" t="n">
        <f aca="false">E41*G41</f>
        <v>7294273</v>
      </c>
    </row>
    <row r="42" customFormat="false" ht="25.5" hidden="false" customHeight="true" outlineLevel="0" collapsed="false">
      <c r="B42" s="27" t="s">
        <v>569</v>
      </c>
      <c r="C42" s="27"/>
      <c r="D42" s="27"/>
      <c r="E42" s="27"/>
      <c r="F42" s="27"/>
      <c r="G42" s="27"/>
      <c r="H42" s="14" t="n">
        <f aca="false">H36+H37+H38+H39+H40+H41</f>
        <v>50294273</v>
      </c>
    </row>
    <row r="44" customFormat="false" ht="27.75" hidden="false" customHeight="true" outlineLevel="0" collapsed="false">
      <c r="B44" s="13" t="s">
        <v>570</v>
      </c>
      <c r="C44" s="13"/>
      <c r="D44" s="13"/>
      <c r="E44" s="13"/>
      <c r="F44" s="13"/>
      <c r="G44" s="13"/>
      <c r="H44" s="15" t="n">
        <f aca="false">H20+H31+H42</f>
        <v>74785598</v>
      </c>
    </row>
    <row r="45" customFormat="false" ht="21.75" hidden="false" customHeight="true" outlineLevel="0" collapsed="false">
      <c r="B45" s="36" t="s">
        <v>571</v>
      </c>
      <c r="C45" s="36"/>
      <c r="D45" s="36"/>
      <c r="E45" s="36"/>
      <c r="F45" s="36"/>
      <c r="G45" s="36"/>
      <c r="H45" s="37" t="n">
        <f aca="false">RINGKASAN!$J$22</f>
        <v>74785598</v>
      </c>
    </row>
    <row r="46" customFormat="false" ht="21.75" hidden="false" customHeight="true" outlineLevel="0" collapsed="false">
      <c r="B46" s="38" t="s">
        <v>572</v>
      </c>
      <c r="C46" s="38"/>
      <c r="D46" s="38"/>
      <c r="E46" s="38"/>
      <c r="F46" s="38"/>
      <c r="G46" s="38"/>
      <c r="H46" s="9" t="n">
        <f aca="false">H44-H45</f>
        <v>0</v>
      </c>
    </row>
    <row r="47" customFormat="false" ht="21.75" hidden="false" customHeight="true" outlineLevel="0" collapsed="false">
      <c r="B47" s="39" t="s">
        <v>573</v>
      </c>
      <c r="C47" s="39"/>
      <c r="D47" s="39"/>
      <c r="E47" s="39"/>
      <c r="F47" s="39"/>
      <c r="G47" s="39"/>
      <c r="H47" s="10" t="str">
        <f aca="false">IF(H41&lt;0,"OVER BUDGET","OK")</f>
        <v>OK</v>
      </c>
    </row>
  </sheetData>
  <mergeCells count="21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2:H22"/>
    <mergeCell ref="D24:H24"/>
    <mergeCell ref="B31:G31"/>
    <mergeCell ref="B33:H33"/>
    <mergeCell ref="D35:H35"/>
    <mergeCell ref="B42:G42"/>
    <mergeCell ref="B44:G44"/>
    <mergeCell ref="B45:G45"/>
    <mergeCell ref="B46:G46"/>
    <mergeCell ref="B47:G47"/>
  </mergeCells>
  <conditionalFormatting sqref="H4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</cols>
  <sheetData>
    <row r="1" customFormat="false" ht="15" hidden="false" customHeight="false" outlineLevel="0" collapsed="false"/>
    <row r="2" customFormat="false" ht="31.5" hidden="false" customHeight="true" outlineLevel="0" collapsed="false">
      <c r="B2" s="2" t="s">
        <v>602</v>
      </c>
      <c r="C2" s="2"/>
      <c r="D2" s="2"/>
      <c r="E2" s="2"/>
      <c r="F2" s="2"/>
      <c r="G2" s="2"/>
      <c r="H2" s="2"/>
    </row>
    <row r="3" customFormat="false" ht="7.5" hidden="false" customHeight="true" outlineLevel="0" collapsed="false"/>
    <row r="4" customFormat="false" ht="19.5" hidden="false" customHeight="true" outlineLevel="0" collapsed="false">
      <c r="B4" s="3" t="s">
        <v>542</v>
      </c>
      <c r="C4" s="4" t="s">
        <v>603</v>
      </c>
      <c r="D4" s="4"/>
      <c r="E4" s="4"/>
      <c r="F4" s="4"/>
      <c r="G4" s="4"/>
      <c r="H4" s="4"/>
    </row>
    <row r="5" customFormat="false" ht="19.5" hidden="false" customHeight="true" outlineLevel="0" collapsed="false">
      <c r="B5" s="3" t="s">
        <v>544</v>
      </c>
      <c r="C5" s="4" t="s">
        <v>604</v>
      </c>
      <c r="D5" s="4"/>
      <c r="E5" s="4"/>
      <c r="F5" s="4"/>
      <c r="G5" s="4"/>
      <c r="H5" s="4"/>
    </row>
    <row r="6" customFormat="false" ht="19.5" hidden="false" customHeight="true" outlineLevel="0" collapsed="false">
      <c r="B6" s="3" t="s">
        <v>18</v>
      </c>
      <c r="C6" s="4" t="s">
        <v>577</v>
      </c>
      <c r="D6" s="4"/>
      <c r="E6" s="4"/>
      <c r="F6" s="4"/>
      <c r="G6" s="4"/>
      <c r="H6" s="4"/>
    </row>
    <row r="7" customFormat="false" ht="19.5" hidden="false" customHeight="true" outlineLevel="0" collapsed="false">
      <c r="B7" s="3" t="s">
        <v>547</v>
      </c>
      <c r="C7" s="4" t="s">
        <v>605</v>
      </c>
      <c r="D7" s="4"/>
      <c r="E7" s="4"/>
      <c r="F7" s="4"/>
      <c r="G7" s="4"/>
      <c r="H7" s="4"/>
    </row>
    <row r="8" customFormat="false" ht="19.5" hidden="false" customHeight="true" outlineLevel="0" collapsed="false">
      <c r="B8" s="3" t="s">
        <v>549</v>
      </c>
      <c r="C8" s="28" t="n">
        <f aca="false">RINGKASAN!$J$23</f>
        <v>104791913</v>
      </c>
      <c r="D8" s="28"/>
      <c r="E8" s="28"/>
      <c r="F8" s="28"/>
      <c r="G8" s="28"/>
      <c r="H8" s="28"/>
    </row>
    <row r="9" customFormat="false" ht="19.5" hidden="false" customHeight="true" outlineLevel="0" collapsed="false">
      <c r="B9" s="3" t="s">
        <v>79</v>
      </c>
      <c r="C9" s="4" t="s">
        <v>80</v>
      </c>
      <c r="D9" s="4"/>
      <c r="E9" s="4"/>
      <c r="F9" s="4"/>
      <c r="G9" s="4"/>
      <c r="H9" s="4"/>
    </row>
    <row r="10" customFormat="false" ht="19.5" hidden="false" customHeight="true" outlineLevel="0" collapsed="false">
      <c r="B10" s="3" t="s">
        <v>9</v>
      </c>
      <c r="C10" s="4" t="s">
        <v>10</v>
      </c>
      <c r="D10" s="4"/>
      <c r="E10" s="4"/>
      <c r="F10" s="4"/>
      <c r="G10" s="4"/>
      <c r="H10" s="4"/>
    </row>
    <row r="12" customFormat="false" ht="21.75" hidden="false" customHeight="true" outlineLevel="0" collapsed="false">
      <c r="B12" s="19" t="s">
        <v>550</v>
      </c>
      <c r="C12" s="19"/>
      <c r="D12" s="19"/>
      <c r="E12" s="19"/>
      <c r="F12" s="19"/>
      <c r="G12" s="19"/>
      <c r="H12" s="19"/>
    </row>
    <row r="13" customFormat="false" ht="27.75" hidden="false" customHeight="true" outlineLevel="0" collapsed="false">
      <c r="B13" s="6" t="s">
        <v>16</v>
      </c>
      <c r="C13" s="6" t="s">
        <v>551</v>
      </c>
      <c r="D13" s="6" t="s">
        <v>552</v>
      </c>
      <c r="E13" s="6" t="s">
        <v>553</v>
      </c>
      <c r="F13" s="6" t="s">
        <v>87</v>
      </c>
      <c r="G13" s="6" t="s">
        <v>88</v>
      </c>
      <c r="H13" s="6" t="s">
        <v>554</v>
      </c>
    </row>
    <row r="14" customFormat="false" ht="21.75" hidden="false" customHeight="true" outlineLevel="0" collapsed="false">
      <c r="B14" s="29" t="s">
        <v>555</v>
      </c>
      <c r="C14" s="30" t="s">
        <v>556</v>
      </c>
      <c r="D14" s="31"/>
      <c r="E14" s="31"/>
      <c r="F14" s="31"/>
      <c r="G14" s="31"/>
      <c r="H14" s="31"/>
    </row>
    <row r="15" customFormat="false" ht="36" hidden="false" customHeight="true" outlineLevel="0" collapsed="false">
      <c r="B15" s="7" t="s">
        <v>557</v>
      </c>
      <c r="C15" s="20" t="s">
        <v>106</v>
      </c>
      <c r="D15" s="32" t="n">
        <v>45</v>
      </c>
      <c r="E15" s="32" t="n">
        <v>45</v>
      </c>
      <c r="F15" s="21" t="s">
        <v>92</v>
      </c>
      <c r="G15" s="9" t="n">
        <f aca="false">'Master of Price'!$G$19</f>
        <v>352000</v>
      </c>
      <c r="H15" s="9" t="n">
        <f aca="false">E15*G15</f>
        <v>15840000</v>
      </c>
    </row>
    <row r="16" customFormat="false" ht="27.75" hidden="false" customHeight="true" outlineLevel="0" collapsed="false">
      <c r="B16" s="10" t="s">
        <v>558</v>
      </c>
      <c r="C16" s="33" t="s">
        <v>94</v>
      </c>
      <c r="D16" s="34" t="n">
        <v>45</v>
      </c>
      <c r="E16" s="34" t="n">
        <v>45</v>
      </c>
      <c r="F16" s="35" t="s">
        <v>92</v>
      </c>
      <c r="G16" s="12" t="n">
        <f aca="false">'Master of Price'!$G$13</f>
        <v>100000</v>
      </c>
      <c r="H16" s="12" t="n">
        <f aca="false">E16*G16</f>
        <v>4500000</v>
      </c>
    </row>
    <row r="17" customFormat="false" ht="27.75" hidden="false" customHeight="true" outlineLevel="0" collapsed="false">
      <c r="B17" s="7" t="s">
        <v>559</v>
      </c>
      <c r="C17" s="20" t="s">
        <v>96</v>
      </c>
      <c r="D17" s="32" t="n">
        <v>45</v>
      </c>
      <c r="E17" s="32" t="n">
        <v>45</v>
      </c>
      <c r="F17" s="21" t="s">
        <v>92</v>
      </c>
      <c r="G17" s="9" t="n">
        <f aca="false">'Master of Price'!$G$14</f>
        <v>28000</v>
      </c>
      <c r="H17" s="9" t="n">
        <f aca="false">E17*G17</f>
        <v>1260000</v>
      </c>
    </row>
    <row r="18" customFormat="false" ht="27.75" hidden="false" customHeight="true" outlineLevel="0" collapsed="false">
      <c r="B18" s="10" t="s">
        <v>560</v>
      </c>
      <c r="C18" s="33" t="s">
        <v>98</v>
      </c>
      <c r="D18" s="34" t="n">
        <v>45</v>
      </c>
      <c r="E18" s="34" t="n">
        <v>45</v>
      </c>
      <c r="F18" s="35" t="s">
        <v>92</v>
      </c>
      <c r="G18" s="12" t="n">
        <f aca="false">'Master of Price'!$G$15</f>
        <v>45000</v>
      </c>
      <c r="H18" s="12" t="n">
        <f aca="false">E18*G18</f>
        <v>2025000</v>
      </c>
    </row>
    <row r="19" customFormat="false" ht="27.75" hidden="false" customHeight="true" outlineLevel="0" collapsed="false">
      <c r="B19" s="7" t="s">
        <v>561</v>
      </c>
      <c r="C19" s="20" t="s">
        <v>100</v>
      </c>
      <c r="D19" s="32" t="n">
        <v>45</v>
      </c>
      <c r="E19" s="32" t="n">
        <v>45</v>
      </c>
      <c r="F19" s="21" t="s">
        <v>92</v>
      </c>
      <c r="G19" s="9" t="n">
        <f aca="false">'Master of Price'!$G$16</f>
        <v>75000</v>
      </c>
      <c r="H19" s="9" t="n">
        <f aca="false">E19*G19</f>
        <v>3375000</v>
      </c>
    </row>
    <row r="20" customFormat="false" ht="25.5" hidden="false" customHeight="true" outlineLevel="0" collapsed="false">
      <c r="B20" s="27" t="s">
        <v>562</v>
      </c>
      <c r="C20" s="27"/>
      <c r="D20" s="27"/>
      <c r="E20" s="27"/>
      <c r="F20" s="27"/>
      <c r="G20" s="27"/>
      <c r="H20" s="14" t="n">
        <f aca="false">H15+H16+H17+H18+H19</f>
        <v>27000000</v>
      </c>
    </row>
    <row r="22" customFormat="false" ht="21.75" hidden="false" customHeight="true" outlineLevel="0" collapsed="false">
      <c r="B22" s="19" t="s">
        <v>563</v>
      </c>
      <c r="C22" s="19"/>
      <c r="D22" s="19"/>
      <c r="E22" s="19"/>
      <c r="F22" s="19"/>
      <c r="G22" s="19"/>
      <c r="H22" s="19"/>
    </row>
    <row r="23" customFormat="false" ht="27.75" hidden="false" customHeight="true" outlineLevel="0" collapsed="false">
      <c r="B23" s="6" t="s">
        <v>16</v>
      </c>
      <c r="C23" s="6" t="s">
        <v>551</v>
      </c>
      <c r="D23" s="6" t="s">
        <v>552</v>
      </c>
      <c r="E23" s="6" t="s">
        <v>553</v>
      </c>
      <c r="F23" s="6" t="s">
        <v>87</v>
      </c>
      <c r="G23" s="6" t="s">
        <v>88</v>
      </c>
      <c r="H23" s="6" t="s">
        <v>554</v>
      </c>
    </row>
    <row r="24" customFormat="false" ht="21.75" hidden="false" customHeight="true" outlineLevel="0" collapsed="false">
      <c r="B24" s="29" t="s">
        <v>555</v>
      </c>
      <c r="C24" s="30" t="s">
        <v>564</v>
      </c>
      <c r="D24" s="31"/>
      <c r="E24" s="31"/>
      <c r="F24" s="31"/>
      <c r="G24" s="31"/>
      <c r="H24" s="31"/>
    </row>
    <row r="25" customFormat="false" ht="27.75" hidden="false" customHeight="true" outlineLevel="0" collapsed="false">
      <c r="B25" s="7" t="s">
        <v>557</v>
      </c>
      <c r="C25" s="20" t="s">
        <v>114</v>
      </c>
      <c r="D25" s="32" t="n">
        <v>5.07</v>
      </c>
      <c r="E25" s="32" t="n">
        <v>5.07</v>
      </c>
      <c r="F25" s="21" t="s">
        <v>112</v>
      </c>
      <c r="G25" s="9" t="n">
        <f aca="false">'Master of Price'!$G$22</f>
        <v>47500</v>
      </c>
      <c r="H25" s="9" t="n">
        <f aca="false">E25*G25</f>
        <v>240825</v>
      </c>
    </row>
    <row r="26" customFormat="false" ht="21.75" hidden="false" customHeight="true" outlineLevel="0" collapsed="false">
      <c r="B26" s="10" t="s">
        <v>558</v>
      </c>
      <c r="C26" s="33" t="s">
        <v>116</v>
      </c>
      <c r="D26" s="34" t="n">
        <v>0.39</v>
      </c>
      <c r="E26" s="34" t="n">
        <v>0.39</v>
      </c>
      <c r="F26" s="35" t="s">
        <v>112</v>
      </c>
      <c r="G26" s="12" t="n">
        <f aca="false">'Master of Price'!$G$23</f>
        <v>90000</v>
      </c>
      <c r="H26" s="12" t="n">
        <f aca="false">E26*G26</f>
        <v>35100</v>
      </c>
    </row>
    <row r="27" customFormat="false" ht="21.75" hidden="false" customHeight="true" outlineLevel="0" collapsed="false">
      <c r="B27" s="7" t="s">
        <v>559</v>
      </c>
      <c r="C27" s="20" t="s">
        <v>118</v>
      </c>
      <c r="D27" s="32" t="n">
        <v>0.08</v>
      </c>
      <c r="E27" s="32" t="n">
        <v>0.08</v>
      </c>
      <c r="F27" s="21" t="s">
        <v>112</v>
      </c>
      <c r="G27" s="9" t="n">
        <f aca="false">'Master of Price'!$G$24</f>
        <v>130000</v>
      </c>
      <c r="H27" s="9" t="n">
        <f aca="false">E27*G27</f>
        <v>10400</v>
      </c>
    </row>
    <row r="28" customFormat="false" ht="27.75" hidden="false" customHeight="true" outlineLevel="0" collapsed="false">
      <c r="B28" s="10" t="s">
        <v>560</v>
      </c>
      <c r="C28" s="33" t="s">
        <v>120</v>
      </c>
      <c r="D28" s="34" t="n">
        <v>3.9</v>
      </c>
      <c r="E28" s="34" t="n">
        <v>3.9</v>
      </c>
      <c r="F28" s="35" t="s">
        <v>112</v>
      </c>
      <c r="G28" s="12" t="n">
        <f aca="false">'Master of Price'!$G$25</f>
        <v>700000</v>
      </c>
      <c r="H28" s="12" t="n">
        <f aca="false">E28*G28</f>
        <v>2730000</v>
      </c>
    </row>
    <row r="29" customFormat="false" ht="36" hidden="false" customHeight="true" outlineLevel="0" collapsed="false">
      <c r="B29" s="7" t="s">
        <v>561</v>
      </c>
      <c r="C29" s="20" t="s">
        <v>122</v>
      </c>
      <c r="D29" s="32" t="n">
        <v>0.975</v>
      </c>
      <c r="E29" s="32" t="n">
        <v>0.975</v>
      </c>
      <c r="F29" s="21" t="s">
        <v>112</v>
      </c>
      <c r="G29" s="9" t="n">
        <f aca="false">'Master of Price'!$G$26</f>
        <v>1000000</v>
      </c>
      <c r="H29" s="9" t="n">
        <f aca="false">E29*G29</f>
        <v>975000</v>
      </c>
    </row>
    <row r="30" customFormat="false" ht="36" hidden="false" customHeight="true" outlineLevel="0" collapsed="false">
      <c r="B30" s="10" t="s">
        <v>579</v>
      </c>
      <c r="C30" s="33" t="s">
        <v>111</v>
      </c>
      <c r="D30" s="34" t="n">
        <v>0.1</v>
      </c>
      <c r="E30" s="34" t="n">
        <v>0.1</v>
      </c>
      <c r="F30" s="35" t="s">
        <v>112</v>
      </c>
      <c r="G30" s="12" t="n">
        <f aca="false">'Master of Price'!$G$21</f>
        <v>1000000</v>
      </c>
      <c r="H30" s="12" t="n">
        <f aca="false">E30*G30</f>
        <v>100000</v>
      </c>
    </row>
    <row r="31" customFormat="false" ht="25.5" hidden="false" customHeight="true" outlineLevel="0" collapsed="false">
      <c r="B31" s="27" t="s">
        <v>565</v>
      </c>
      <c r="C31" s="27"/>
      <c r="D31" s="27"/>
      <c r="E31" s="27"/>
      <c r="F31" s="27"/>
      <c r="G31" s="27"/>
      <c r="H31" s="14" t="n">
        <f aca="false">H25+H26+H27+H28+H29+H30</f>
        <v>4091325</v>
      </c>
    </row>
    <row r="33" customFormat="false" ht="21.75" hidden="false" customHeight="true" outlineLevel="0" collapsed="false">
      <c r="B33" s="19" t="s">
        <v>566</v>
      </c>
      <c r="C33" s="19"/>
      <c r="D33" s="19"/>
      <c r="E33" s="19"/>
      <c r="F33" s="19"/>
      <c r="G33" s="19"/>
      <c r="H33" s="19"/>
    </row>
    <row r="34" customFormat="false" ht="27.75" hidden="false" customHeight="true" outlineLevel="0" collapsed="false">
      <c r="B34" s="6" t="s">
        <v>16</v>
      </c>
      <c r="C34" s="6" t="s">
        <v>551</v>
      </c>
      <c r="D34" s="6" t="s">
        <v>552</v>
      </c>
      <c r="E34" s="6" t="s">
        <v>553</v>
      </c>
      <c r="F34" s="6" t="s">
        <v>87</v>
      </c>
      <c r="G34" s="6" t="s">
        <v>88</v>
      </c>
      <c r="H34" s="6" t="s">
        <v>554</v>
      </c>
    </row>
    <row r="35" customFormat="false" ht="21.75" hidden="false" customHeight="true" outlineLevel="0" collapsed="false">
      <c r="B35" s="29" t="s">
        <v>555</v>
      </c>
      <c r="C35" s="30" t="s">
        <v>580</v>
      </c>
      <c r="D35" s="31"/>
      <c r="E35" s="31"/>
      <c r="F35" s="31"/>
      <c r="G35" s="31"/>
      <c r="H35" s="31"/>
    </row>
    <row r="36" customFormat="false" ht="36" hidden="false" customHeight="true" outlineLevel="0" collapsed="false">
      <c r="B36" s="7" t="s">
        <v>557</v>
      </c>
      <c r="C36" s="20" t="s">
        <v>133</v>
      </c>
      <c r="D36" s="32" t="n">
        <v>1</v>
      </c>
      <c r="E36" s="32" t="n">
        <v>1</v>
      </c>
      <c r="F36" s="21" t="s">
        <v>128</v>
      </c>
      <c r="G36" s="9" t="n">
        <f aca="false">'Master of Price'!$G$30</f>
        <v>24000000</v>
      </c>
      <c r="H36" s="9" t="n">
        <f aca="false">E36*G36</f>
        <v>24000000</v>
      </c>
    </row>
    <row r="37" customFormat="false" ht="27.75" hidden="false" customHeight="true" outlineLevel="0" collapsed="false">
      <c r="B37" s="10" t="s">
        <v>558</v>
      </c>
      <c r="C37" s="33" t="s">
        <v>135</v>
      </c>
      <c r="D37" s="34" t="n">
        <v>1</v>
      </c>
      <c r="E37" s="34" t="n">
        <v>1</v>
      </c>
      <c r="F37" s="35" t="s">
        <v>131</v>
      </c>
      <c r="G37" s="12" t="n">
        <f aca="false">'Master of Price'!$G$31</f>
        <v>1500000</v>
      </c>
      <c r="H37" s="12" t="n">
        <f aca="false">E37*G37</f>
        <v>1500000</v>
      </c>
    </row>
    <row r="38" customFormat="false" ht="36" hidden="false" customHeight="true" outlineLevel="0" collapsed="false">
      <c r="B38" s="7" t="s">
        <v>559</v>
      </c>
      <c r="C38" s="20" t="s">
        <v>137</v>
      </c>
      <c r="D38" s="32" t="n">
        <v>5</v>
      </c>
      <c r="E38" s="32" t="n">
        <v>5</v>
      </c>
      <c r="F38" s="21" t="s">
        <v>128</v>
      </c>
      <c r="G38" s="9" t="n">
        <f aca="false">'Master of Price'!$G$32</f>
        <v>2100000</v>
      </c>
      <c r="H38" s="9" t="n">
        <f aca="false">E38*G38</f>
        <v>10500000</v>
      </c>
    </row>
    <row r="39" customFormat="false" ht="36" hidden="false" customHeight="true" outlineLevel="0" collapsed="false">
      <c r="B39" s="10" t="s">
        <v>560</v>
      </c>
      <c r="C39" s="33" t="s">
        <v>139</v>
      </c>
      <c r="D39" s="34" t="n">
        <v>1</v>
      </c>
      <c r="E39" s="34" t="n">
        <v>1</v>
      </c>
      <c r="F39" s="35" t="s">
        <v>140</v>
      </c>
      <c r="G39" s="12" t="n">
        <f aca="false">'Master of Price'!$G$33</f>
        <v>4500000</v>
      </c>
      <c r="H39" s="12" t="n">
        <f aca="false">E39*G39</f>
        <v>4500000</v>
      </c>
    </row>
    <row r="40" customFormat="false" ht="36" hidden="false" customHeight="true" outlineLevel="0" collapsed="false">
      <c r="B40" s="7" t="s">
        <v>561</v>
      </c>
      <c r="C40" s="20" t="s">
        <v>142</v>
      </c>
      <c r="D40" s="32" t="n">
        <v>1</v>
      </c>
      <c r="E40" s="32" t="n">
        <v>1</v>
      </c>
      <c r="F40" s="21" t="s">
        <v>131</v>
      </c>
      <c r="G40" s="9" t="n">
        <f aca="false">'Master of Price'!$G$34</f>
        <v>2500000</v>
      </c>
      <c r="H40" s="9" t="n">
        <f aca="false">E40*G40</f>
        <v>2500000</v>
      </c>
    </row>
    <row r="41" customFormat="false" ht="21.75" hidden="false" customHeight="true" outlineLevel="0" collapsed="false">
      <c r="B41" s="10" t="s">
        <v>579</v>
      </c>
      <c r="C41" s="33" t="s">
        <v>568</v>
      </c>
      <c r="D41" s="34" t="n">
        <v>1</v>
      </c>
      <c r="E41" s="34" t="n">
        <v>1</v>
      </c>
      <c r="F41" s="35" t="s">
        <v>131</v>
      </c>
      <c r="G41" s="12" t="n">
        <f aca="false">H45-(H20+H31+H36+H37+H38+H39+H40)</f>
        <v>30700588</v>
      </c>
      <c r="H41" s="12" t="n">
        <f aca="false">E41*G41</f>
        <v>30700588</v>
      </c>
    </row>
    <row r="42" customFormat="false" ht="25.5" hidden="false" customHeight="true" outlineLevel="0" collapsed="false">
      <c r="B42" s="27" t="s">
        <v>569</v>
      </c>
      <c r="C42" s="27"/>
      <c r="D42" s="27"/>
      <c r="E42" s="27"/>
      <c r="F42" s="27"/>
      <c r="G42" s="27"/>
      <c r="H42" s="14" t="n">
        <f aca="false">H36+H37+H38+H39+H40+H41</f>
        <v>73700588</v>
      </c>
    </row>
    <row r="44" customFormat="false" ht="27.75" hidden="false" customHeight="true" outlineLevel="0" collapsed="false">
      <c r="B44" s="13" t="s">
        <v>570</v>
      </c>
      <c r="C44" s="13"/>
      <c r="D44" s="13"/>
      <c r="E44" s="13"/>
      <c r="F44" s="13"/>
      <c r="G44" s="13"/>
      <c r="H44" s="15" t="n">
        <f aca="false">H20+H31+H42</f>
        <v>104791913</v>
      </c>
    </row>
    <row r="45" customFormat="false" ht="21.75" hidden="false" customHeight="true" outlineLevel="0" collapsed="false">
      <c r="B45" s="36" t="s">
        <v>571</v>
      </c>
      <c r="C45" s="36"/>
      <c r="D45" s="36"/>
      <c r="E45" s="36"/>
      <c r="F45" s="36"/>
      <c r="G45" s="36"/>
      <c r="H45" s="37" t="n">
        <f aca="false">RINGKASAN!$J$23</f>
        <v>104791913</v>
      </c>
    </row>
    <row r="46" customFormat="false" ht="21.75" hidden="false" customHeight="true" outlineLevel="0" collapsed="false">
      <c r="B46" s="38" t="s">
        <v>572</v>
      </c>
      <c r="C46" s="38"/>
      <c r="D46" s="38"/>
      <c r="E46" s="38"/>
      <c r="F46" s="38"/>
      <c r="G46" s="38"/>
      <c r="H46" s="9" t="n">
        <f aca="false">H44-H45</f>
        <v>0</v>
      </c>
    </row>
    <row r="47" customFormat="false" ht="21.75" hidden="false" customHeight="true" outlineLevel="0" collapsed="false">
      <c r="B47" s="39" t="s">
        <v>573</v>
      </c>
      <c r="C47" s="39"/>
      <c r="D47" s="39"/>
      <c r="E47" s="39"/>
      <c r="F47" s="39"/>
      <c r="G47" s="39"/>
      <c r="H47" s="10" t="str">
        <f aca="false">IF(H41&lt;0,"OVER BUDGET","OK")</f>
        <v>OK</v>
      </c>
    </row>
  </sheetData>
  <mergeCells count="21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2:H22"/>
    <mergeCell ref="D24:H24"/>
    <mergeCell ref="B31:G31"/>
    <mergeCell ref="B33:H33"/>
    <mergeCell ref="D35:H35"/>
    <mergeCell ref="B42:G42"/>
    <mergeCell ref="B44:G44"/>
    <mergeCell ref="B45:G45"/>
    <mergeCell ref="B46:G46"/>
    <mergeCell ref="B47:G47"/>
  </mergeCells>
  <conditionalFormatting sqref="H4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</cols>
  <sheetData>
    <row r="1" customFormat="false" ht="15" hidden="false" customHeight="false" outlineLevel="0" collapsed="false"/>
    <row r="2" customFormat="false" ht="31.5" hidden="false" customHeight="true" outlineLevel="0" collapsed="false">
      <c r="B2" s="2" t="s">
        <v>606</v>
      </c>
      <c r="C2" s="2"/>
      <c r="D2" s="2"/>
      <c r="E2" s="2"/>
      <c r="F2" s="2"/>
      <c r="G2" s="2"/>
      <c r="H2" s="2"/>
    </row>
    <row r="3" customFormat="false" ht="7.5" hidden="false" customHeight="true" outlineLevel="0" collapsed="false"/>
    <row r="4" customFormat="false" ht="19.5" hidden="false" customHeight="true" outlineLevel="0" collapsed="false">
      <c r="B4" s="3" t="s">
        <v>542</v>
      </c>
      <c r="C4" s="4" t="s">
        <v>603</v>
      </c>
      <c r="D4" s="4"/>
      <c r="E4" s="4"/>
      <c r="F4" s="4"/>
      <c r="G4" s="4"/>
      <c r="H4" s="4"/>
    </row>
    <row r="5" customFormat="false" ht="19.5" hidden="false" customHeight="true" outlineLevel="0" collapsed="false">
      <c r="B5" s="3" t="s">
        <v>544</v>
      </c>
      <c r="C5" s="4" t="s">
        <v>607</v>
      </c>
      <c r="D5" s="4"/>
      <c r="E5" s="4"/>
      <c r="F5" s="4"/>
      <c r="G5" s="4"/>
      <c r="H5" s="4"/>
    </row>
    <row r="6" customFormat="false" ht="19.5" hidden="false" customHeight="true" outlineLevel="0" collapsed="false">
      <c r="B6" s="3" t="s">
        <v>18</v>
      </c>
      <c r="C6" s="4" t="s">
        <v>577</v>
      </c>
      <c r="D6" s="4"/>
      <c r="E6" s="4"/>
      <c r="F6" s="4"/>
      <c r="G6" s="4"/>
      <c r="H6" s="4"/>
    </row>
    <row r="7" customFormat="false" ht="19.5" hidden="false" customHeight="true" outlineLevel="0" collapsed="false">
      <c r="B7" s="3" t="s">
        <v>547</v>
      </c>
      <c r="C7" s="4" t="s">
        <v>605</v>
      </c>
      <c r="D7" s="4"/>
      <c r="E7" s="4"/>
      <c r="F7" s="4"/>
      <c r="G7" s="4"/>
      <c r="H7" s="4"/>
    </row>
    <row r="8" customFormat="false" ht="19.5" hidden="false" customHeight="true" outlineLevel="0" collapsed="false">
      <c r="B8" s="3" t="s">
        <v>549</v>
      </c>
      <c r="C8" s="28" t="n">
        <f aca="false">RINGKASAN!$J$24</f>
        <v>104791913</v>
      </c>
      <c r="D8" s="28"/>
      <c r="E8" s="28"/>
      <c r="F8" s="28"/>
      <c r="G8" s="28"/>
      <c r="H8" s="28"/>
    </row>
    <row r="9" customFormat="false" ht="19.5" hidden="false" customHeight="true" outlineLevel="0" collapsed="false">
      <c r="B9" s="3" t="s">
        <v>79</v>
      </c>
      <c r="C9" s="4" t="s">
        <v>80</v>
      </c>
      <c r="D9" s="4"/>
      <c r="E9" s="4"/>
      <c r="F9" s="4"/>
      <c r="G9" s="4"/>
      <c r="H9" s="4"/>
    </row>
    <row r="10" customFormat="false" ht="19.5" hidden="false" customHeight="true" outlineLevel="0" collapsed="false">
      <c r="B10" s="3" t="s">
        <v>9</v>
      </c>
      <c r="C10" s="4" t="s">
        <v>10</v>
      </c>
      <c r="D10" s="4"/>
      <c r="E10" s="4"/>
      <c r="F10" s="4"/>
      <c r="G10" s="4"/>
      <c r="H10" s="4"/>
    </row>
    <row r="12" customFormat="false" ht="21.75" hidden="false" customHeight="true" outlineLevel="0" collapsed="false">
      <c r="B12" s="19" t="s">
        <v>550</v>
      </c>
      <c r="C12" s="19"/>
      <c r="D12" s="19"/>
      <c r="E12" s="19"/>
      <c r="F12" s="19"/>
      <c r="G12" s="19"/>
      <c r="H12" s="19"/>
    </row>
    <row r="13" customFormat="false" ht="27.75" hidden="false" customHeight="true" outlineLevel="0" collapsed="false">
      <c r="B13" s="6" t="s">
        <v>16</v>
      </c>
      <c r="C13" s="6" t="s">
        <v>551</v>
      </c>
      <c r="D13" s="6" t="s">
        <v>552</v>
      </c>
      <c r="E13" s="6" t="s">
        <v>553</v>
      </c>
      <c r="F13" s="6" t="s">
        <v>87</v>
      </c>
      <c r="G13" s="6" t="s">
        <v>88</v>
      </c>
      <c r="H13" s="6" t="s">
        <v>554</v>
      </c>
    </row>
    <row r="14" customFormat="false" ht="21.75" hidden="false" customHeight="true" outlineLevel="0" collapsed="false">
      <c r="B14" s="29" t="s">
        <v>555</v>
      </c>
      <c r="C14" s="30" t="s">
        <v>556</v>
      </c>
      <c r="D14" s="31"/>
      <c r="E14" s="31"/>
      <c r="F14" s="31"/>
      <c r="G14" s="31"/>
      <c r="H14" s="31"/>
    </row>
    <row r="15" customFormat="false" ht="36" hidden="false" customHeight="true" outlineLevel="0" collapsed="false">
      <c r="B15" s="7" t="s">
        <v>557</v>
      </c>
      <c r="C15" s="20" t="s">
        <v>106</v>
      </c>
      <c r="D15" s="32" t="n">
        <v>45</v>
      </c>
      <c r="E15" s="32" t="n">
        <v>45</v>
      </c>
      <c r="F15" s="21" t="s">
        <v>92</v>
      </c>
      <c r="G15" s="9" t="n">
        <f aca="false">'Master of Price'!$G$19</f>
        <v>352000</v>
      </c>
      <c r="H15" s="9" t="n">
        <f aca="false">E15*G15</f>
        <v>15840000</v>
      </c>
    </row>
    <row r="16" customFormat="false" ht="27.75" hidden="false" customHeight="true" outlineLevel="0" collapsed="false">
      <c r="B16" s="10" t="s">
        <v>558</v>
      </c>
      <c r="C16" s="33" t="s">
        <v>94</v>
      </c>
      <c r="D16" s="34" t="n">
        <v>45</v>
      </c>
      <c r="E16" s="34" t="n">
        <v>45</v>
      </c>
      <c r="F16" s="35" t="s">
        <v>92</v>
      </c>
      <c r="G16" s="12" t="n">
        <f aca="false">'Master of Price'!$G$13</f>
        <v>100000</v>
      </c>
      <c r="H16" s="12" t="n">
        <f aca="false">E16*G16</f>
        <v>4500000</v>
      </c>
    </row>
    <row r="17" customFormat="false" ht="27.75" hidden="false" customHeight="true" outlineLevel="0" collapsed="false">
      <c r="B17" s="7" t="s">
        <v>559</v>
      </c>
      <c r="C17" s="20" t="s">
        <v>96</v>
      </c>
      <c r="D17" s="32" t="n">
        <v>45</v>
      </c>
      <c r="E17" s="32" t="n">
        <v>45</v>
      </c>
      <c r="F17" s="21" t="s">
        <v>92</v>
      </c>
      <c r="G17" s="9" t="n">
        <f aca="false">'Master of Price'!$G$14</f>
        <v>28000</v>
      </c>
      <c r="H17" s="9" t="n">
        <f aca="false">E17*G17</f>
        <v>1260000</v>
      </c>
    </row>
    <row r="18" customFormat="false" ht="27.75" hidden="false" customHeight="true" outlineLevel="0" collapsed="false">
      <c r="B18" s="10" t="s">
        <v>560</v>
      </c>
      <c r="C18" s="33" t="s">
        <v>98</v>
      </c>
      <c r="D18" s="34" t="n">
        <v>45</v>
      </c>
      <c r="E18" s="34" t="n">
        <v>45</v>
      </c>
      <c r="F18" s="35" t="s">
        <v>92</v>
      </c>
      <c r="G18" s="12" t="n">
        <f aca="false">'Master of Price'!$G$15</f>
        <v>45000</v>
      </c>
      <c r="H18" s="12" t="n">
        <f aca="false">E18*G18</f>
        <v>2025000</v>
      </c>
    </row>
    <row r="19" customFormat="false" ht="27.75" hidden="false" customHeight="true" outlineLevel="0" collapsed="false">
      <c r="B19" s="7" t="s">
        <v>561</v>
      </c>
      <c r="C19" s="20" t="s">
        <v>100</v>
      </c>
      <c r="D19" s="32" t="n">
        <v>45</v>
      </c>
      <c r="E19" s="32" t="n">
        <v>45</v>
      </c>
      <c r="F19" s="21" t="s">
        <v>92</v>
      </c>
      <c r="G19" s="9" t="n">
        <f aca="false">'Master of Price'!$G$16</f>
        <v>75000</v>
      </c>
      <c r="H19" s="9" t="n">
        <f aca="false">E19*G19</f>
        <v>3375000</v>
      </c>
    </row>
    <row r="20" customFormat="false" ht="25.5" hidden="false" customHeight="true" outlineLevel="0" collapsed="false">
      <c r="B20" s="27" t="s">
        <v>562</v>
      </c>
      <c r="C20" s="27"/>
      <c r="D20" s="27"/>
      <c r="E20" s="27"/>
      <c r="F20" s="27"/>
      <c r="G20" s="27"/>
      <c r="H20" s="14" t="n">
        <f aca="false">H15+H16+H17+H18+H19</f>
        <v>27000000</v>
      </c>
    </row>
    <row r="22" customFormat="false" ht="21.75" hidden="false" customHeight="true" outlineLevel="0" collapsed="false">
      <c r="B22" s="19" t="s">
        <v>563</v>
      </c>
      <c r="C22" s="19"/>
      <c r="D22" s="19"/>
      <c r="E22" s="19"/>
      <c r="F22" s="19"/>
      <c r="G22" s="19"/>
      <c r="H22" s="19"/>
    </row>
    <row r="23" customFormat="false" ht="27.75" hidden="false" customHeight="true" outlineLevel="0" collapsed="false">
      <c r="B23" s="6" t="s">
        <v>16</v>
      </c>
      <c r="C23" s="6" t="s">
        <v>551</v>
      </c>
      <c r="D23" s="6" t="s">
        <v>552</v>
      </c>
      <c r="E23" s="6" t="s">
        <v>553</v>
      </c>
      <c r="F23" s="6" t="s">
        <v>87</v>
      </c>
      <c r="G23" s="6" t="s">
        <v>88</v>
      </c>
      <c r="H23" s="6" t="s">
        <v>554</v>
      </c>
    </row>
    <row r="24" customFormat="false" ht="21.75" hidden="false" customHeight="true" outlineLevel="0" collapsed="false">
      <c r="B24" s="29" t="s">
        <v>555</v>
      </c>
      <c r="C24" s="30" t="s">
        <v>564</v>
      </c>
      <c r="D24" s="31"/>
      <c r="E24" s="31"/>
      <c r="F24" s="31"/>
      <c r="G24" s="31"/>
      <c r="H24" s="31"/>
    </row>
    <row r="25" customFormat="false" ht="27.75" hidden="false" customHeight="true" outlineLevel="0" collapsed="false">
      <c r="B25" s="7" t="s">
        <v>557</v>
      </c>
      <c r="C25" s="20" t="s">
        <v>114</v>
      </c>
      <c r="D25" s="32" t="n">
        <v>5.07</v>
      </c>
      <c r="E25" s="32" t="n">
        <v>5.07</v>
      </c>
      <c r="F25" s="21" t="s">
        <v>112</v>
      </c>
      <c r="G25" s="9" t="n">
        <f aca="false">'Master of Price'!$G$22</f>
        <v>47500</v>
      </c>
      <c r="H25" s="9" t="n">
        <f aca="false">E25*G25</f>
        <v>240825</v>
      </c>
    </row>
    <row r="26" customFormat="false" ht="21.75" hidden="false" customHeight="true" outlineLevel="0" collapsed="false">
      <c r="B26" s="10" t="s">
        <v>558</v>
      </c>
      <c r="C26" s="33" t="s">
        <v>116</v>
      </c>
      <c r="D26" s="34" t="n">
        <v>0.39</v>
      </c>
      <c r="E26" s="34" t="n">
        <v>0.39</v>
      </c>
      <c r="F26" s="35" t="s">
        <v>112</v>
      </c>
      <c r="G26" s="12" t="n">
        <f aca="false">'Master of Price'!$G$23</f>
        <v>90000</v>
      </c>
      <c r="H26" s="12" t="n">
        <f aca="false">E26*G26</f>
        <v>35100</v>
      </c>
    </row>
    <row r="27" customFormat="false" ht="21.75" hidden="false" customHeight="true" outlineLevel="0" collapsed="false">
      <c r="B27" s="7" t="s">
        <v>559</v>
      </c>
      <c r="C27" s="20" t="s">
        <v>118</v>
      </c>
      <c r="D27" s="32" t="n">
        <v>0.08</v>
      </c>
      <c r="E27" s="32" t="n">
        <v>0.08</v>
      </c>
      <c r="F27" s="21" t="s">
        <v>112</v>
      </c>
      <c r="G27" s="9" t="n">
        <f aca="false">'Master of Price'!$G$24</f>
        <v>130000</v>
      </c>
      <c r="H27" s="9" t="n">
        <f aca="false">E27*G27</f>
        <v>10400</v>
      </c>
    </row>
    <row r="28" customFormat="false" ht="27.75" hidden="false" customHeight="true" outlineLevel="0" collapsed="false">
      <c r="B28" s="10" t="s">
        <v>560</v>
      </c>
      <c r="C28" s="33" t="s">
        <v>120</v>
      </c>
      <c r="D28" s="34" t="n">
        <v>3.9</v>
      </c>
      <c r="E28" s="34" t="n">
        <v>3.9</v>
      </c>
      <c r="F28" s="35" t="s">
        <v>112</v>
      </c>
      <c r="G28" s="12" t="n">
        <f aca="false">'Master of Price'!$G$25</f>
        <v>700000</v>
      </c>
      <c r="H28" s="12" t="n">
        <f aca="false">E28*G28</f>
        <v>2730000</v>
      </c>
    </row>
    <row r="29" customFormat="false" ht="36" hidden="false" customHeight="true" outlineLevel="0" collapsed="false">
      <c r="B29" s="7" t="s">
        <v>561</v>
      </c>
      <c r="C29" s="20" t="s">
        <v>122</v>
      </c>
      <c r="D29" s="32" t="n">
        <v>0.975</v>
      </c>
      <c r="E29" s="32" t="n">
        <v>0.975</v>
      </c>
      <c r="F29" s="21" t="s">
        <v>112</v>
      </c>
      <c r="G29" s="9" t="n">
        <f aca="false">'Master of Price'!$G$26</f>
        <v>1000000</v>
      </c>
      <c r="H29" s="9" t="n">
        <f aca="false">E29*G29</f>
        <v>975000</v>
      </c>
    </row>
    <row r="30" customFormat="false" ht="36" hidden="false" customHeight="true" outlineLevel="0" collapsed="false">
      <c r="B30" s="10" t="s">
        <v>579</v>
      </c>
      <c r="C30" s="33" t="s">
        <v>111</v>
      </c>
      <c r="D30" s="34" t="n">
        <v>0.1</v>
      </c>
      <c r="E30" s="34" t="n">
        <v>0.1</v>
      </c>
      <c r="F30" s="35" t="s">
        <v>112</v>
      </c>
      <c r="G30" s="12" t="n">
        <f aca="false">'Master of Price'!$G$21</f>
        <v>1000000</v>
      </c>
      <c r="H30" s="12" t="n">
        <f aca="false">E30*G30</f>
        <v>100000</v>
      </c>
    </row>
    <row r="31" customFormat="false" ht="25.5" hidden="false" customHeight="true" outlineLevel="0" collapsed="false">
      <c r="B31" s="27" t="s">
        <v>565</v>
      </c>
      <c r="C31" s="27"/>
      <c r="D31" s="27"/>
      <c r="E31" s="27"/>
      <c r="F31" s="27"/>
      <c r="G31" s="27"/>
      <c r="H31" s="14" t="n">
        <f aca="false">H25+H26+H27+H28+H29+H30</f>
        <v>4091325</v>
      </c>
    </row>
    <row r="33" customFormat="false" ht="21.75" hidden="false" customHeight="true" outlineLevel="0" collapsed="false">
      <c r="B33" s="19" t="s">
        <v>566</v>
      </c>
      <c r="C33" s="19"/>
      <c r="D33" s="19"/>
      <c r="E33" s="19"/>
      <c r="F33" s="19"/>
      <c r="G33" s="19"/>
      <c r="H33" s="19"/>
    </row>
    <row r="34" customFormat="false" ht="27.75" hidden="false" customHeight="true" outlineLevel="0" collapsed="false">
      <c r="B34" s="6" t="s">
        <v>16</v>
      </c>
      <c r="C34" s="6" t="s">
        <v>551</v>
      </c>
      <c r="D34" s="6" t="s">
        <v>552</v>
      </c>
      <c r="E34" s="6" t="s">
        <v>553</v>
      </c>
      <c r="F34" s="6" t="s">
        <v>87</v>
      </c>
      <c r="G34" s="6" t="s">
        <v>88</v>
      </c>
      <c r="H34" s="6" t="s">
        <v>554</v>
      </c>
    </row>
    <row r="35" customFormat="false" ht="21.75" hidden="false" customHeight="true" outlineLevel="0" collapsed="false">
      <c r="B35" s="29" t="s">
        <v>555</v>
      </c>
      <c r="C35" s="30" t="s">
        <v>580</v>
      </c>
      <c r="D35" s="31"/>
      <c r="E35" s="31"/>
      <c r="F35" s="31"/>
      <c r="G35" s="31"/>
      <c r="H35" s="31"/>
    </row>
    <row r="36" customFormat="false" ht="36" hidden="false" customHeight="true" outlineLevel="0" collapsed="false">
      <c r="B36" s="7" t="s">
        <v>557</v>
      </c>
      <c r="C36" s="20" t="s">
        <v>133</v>
      </c>
      <c r="D36" s="32" t="n">
        <v>1</v>
      </c>
      <c r="E36" s="32" t="n">
        <v>1</v>
      </c>
      <c r="F36" s="21" t="s">
        <v>128</v>
      </c>
      <c r="G36" s="9" t="n">
        <f aca="false">'Master of Price'!$G$30</f>
        <v>24000000</v>
      </c>
      <c r="H36" s="9" t="n">
        <f aca="false">E36*G36</f>
        <v>24000000</v>
      </c>
    </row>
    <row r="37" customFormat="false" ht="27.75" hidden="false" customHeight="true" outlineLevel="0" collapsed="false">
      <c r="B37" s="10" t="s">
        <v>558</v>
      </c>
      <c r="C37" s="33" t="s">
        <v>135</v>
      </c>
      <c r="D37" s="34" t="n">
        <v>1</v>
      </c>
      <c r="E37" s="34" t="n">
        <v>1</v>
      </c>
      <c r="F37" s="35" t="s">
        <v>131</v>
      </c>
      <c r="G37" s="12" t="n">
        <f aca="false">'Master of Price'!$G$31</f>
        <v>1500000</v>
      </c>
      <c r="H37" s="12" t="n">
        <f aca="false">E37*G37</f>
        <v>1500000</v>
      </c>
    </row>
    <row r="38" customFormat="false" ht="36" hidden="false" customHeight="true" outlineLevel="0" collapsed="false">
      <c r="B38" s="7" t="s">
        <v>559</v>
      </c>
      <c r="C38" s="20" t="s">
        <v>137</v>
      </c>
      <c r="D38" s="32" t="n">
        <v>5</v>
      </c>
      <c r="E38" s="32" t="n">
        <v>5</v>
      </c>
      <c r="F38" s="21" t="s">
        <v>128</v>
      </c>
      <c r="G38" s="9" t="n">
        <f aca="false">'Master of Price'!$G$32</f>
        <v>2100000</v>
      </c>
      <c r="H38" s="9" t="n">
        <f aca="false">E38*G38</f>
        <v>10500000</v>
      </c>
    </row>
    <row r="39" customFormat="false" ht="36" hidden="false" customHeight="true" outlineLevel="0" collapsed="false">
      <c r="B39" s="10" t="s">
        <v>560</v>
      </c>
      <c r="C39" s="33" t="s">
        <v>139</v>
      </c>
      <c r="D39" s="34" t="n">
        <v>1</v>
      </c>
      <c r="E39" s="34" t="n">
        <v>1</v>
      </c>
      <c r="F39" s="35" t="s">
        <v>140</v>
      </c>
      <c r="G39" s="12" t="n">
        <f aca="false">'Master of Price'!$G$33</f>
        <v>4500000</v>
      </c>
      <c r="H39" s="12" t="n">
        <f aca="false">E39*G39</f>
        <v>4500000</v>
      </c>
    </row>
    <row r="40" customFormat="false" ht="36" hidden="false" customHeight="true" outlineLevel="0" collapsed="false">
      <c r="B40" s="7" t="s">
        <v>561</v>
      </c>
      <c r="C40" s="20" t="s">
        <v>142</v>
      </c>
      <c r="D40" s="32" t="n">
        <v>1</v>
      </c>
      <c r="E40" s="32" t="n">
        <v>1</v>
      </c>
      <c r="F40" s="21" t="s">
        <v>131</v>
      </c>
      <c r="G40" s="9" t="n">
        <f aca="false">'Master of Price'!$G$34</f>
        <v>2500000</v>
      </c>
      <c r="H40" s="9" t="n">
        <f aca="false">E40*G40</f>
        <v>2500000</v>
      </c>
    </row>
    <row r="41" customFormat="false" ht="21.75" hidden="false" customHeight="true" outlineLevel="0" collapsed="false">
      <c r="B41" s="10" t="s">
        <v>579</v>
      </c>
      <c r="C41" s="33" t="s">
        <v>568</v>
      </c>
      <c r="D41" s="34" t="n">
        <v>1</v>
      </c>
      <c r="E41" s="34" t="n">
        <v>1</v>
      </c>
      <c r="F41" s="35" t="s">
        <v>131</v>
      </c>
      <c r="G41" s="12" t="n">
        <f aca="false">H45-(H20+H31+H36+H37+H38+H39+H40)</f>
        <v>30700588</v>
      </c>
      <c r="H41" s="12" t="n">
        <f aca="false">E41*G41</f>
        <v>30700588</v>
      </c>
    </row>
    <row r="42" customFormat="false" ht="25.5" hidden="false" customHeight="true" outlineLevel="0" collapsed="false">
      <c r="B42" s="27" t="s">
        <v>569</v>
      </c>
      <c r="C42" s="27"/>
      <c r="D42" s="27"/>
      <c r="E42" s="27"/>
      <c r="F42" s="27"/>
      <c r="G42" s="27"/>
      <c r="H42" s="14" t="n">
        <f aca="false">H36+H37+H38+H39+H40+H41</f>
        <v>73700588</v>
      </c>
    </row>
    <row r="44" customFormat="false" ht="27.75" hidden="false" customHeight="true" outlineLevel="0" collapsed="false">
      <c r="B44" s="13" t="s">
        <v>570</v>
      </c>
      <c r="C44" s="13"/>
      <c r="D44" s="13"/>
      <c r="E44" s="13"/>
      <c r="F44" s="13"/>
      <c r="G44" s="13"/>
      <c r="H44" s="15" t="n">
        <f aca="false">H20+H31+H42</f>
        <v>104791913</v>
      </c>
    </row>
    <row r="45" customFormat="false" ht="21.75" hidden="false" customHeight="true" outlineLevel="0" collapsed="false">
      <c r="B45" s="36" t="s">
        <v>571</v>
      </c>
      <c r="C45" s="36"/>
      <c r="D45" s="36"/>
      <c r="E45" s="36"/>
      <c r="F45" s="36"/>
      <c r="G45" s="36"/>
      <c r="H45" s="37" t="n">
        <f aca="false">RINGKASAN!$J$24</f>
        <v>104791913</v>
      </c>
    </row>
    <row r="46" customFormat="false" ht="21.75" hidden="false" customHeight="true" outlineLevel="0" collapsed="false">
      <c r="B46" s="38" t="s">
        <v>572</v>
      </c>
      <c r="C46" s="38"/>
      <c r="D46" s="38"/>
      <c r="E46" s="38"/>
      <c r="F46" s="38"/>
      <c r="G46" s="38"/>
      <c r="H46" s="9" t="n">
        <f aca="false">H44-H45</f>
        <v>0</v>
      </c>
    </row>
    <row r="47" customFormat="false" ht="21.75" hidden="false" customHeight="true" outlineLevel="0" collapsed="false">
      <c r="B47" s="39" t="s">
        <v>573</v>
      </c>
      <c r="C47" s="39"/>
      <c r="D47" s="39"/>
      <c r="E47" s="39"/>
      <c r="F47" s="39"/>
      <c r="G47" s="39"/>
      <c r="H47" s="10" t="str">
        <f aca="false">IF(H41&lt;0,"OVER BUDGET","OK")</f>
        <v>OK</v>
      </c>
    </row>
  </sheetData>
  <mergeCells count="21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2:H22"/>
    <mergeCell ref="D24:H24"/>
    <mergeCell ref="B31:G31"/>
    <mergeCell ref="B33:H33"/>
    <mergeCell ref="D35:H35"/>
    <mergeCell ref="B42:G42"/>
    <mergeCell ref="B44:G44"/>
    <mergeCell ref="B45:G45"/>
    <mergeCell ref="B46:G46"/>
    <mergeCell ref="B47:G47"/>
  </mergeCells>
  <conditionalFormatting sqref="H4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</cols>
  <sheetData>
    <row r="1" customFormat="false" ht="15" hidden="false" customHeight="false" outlineLevel="0" collapsed="false"/>
    <row r="2" customFormat="false" ht="31.5" hidden="false" customHeight="true" outlineLevel="0" collapsed="false">
      <c r="B2" s="2" t="s">
        <v>608</v>
      </c>
      <c r="C2" s="2"/>
      <c r="D2" s="2"/>
      <c r="E2" s="2"/>
      <c r="F2" s="2"/>
      <c r="G2" s="2"/>
      <c r="H2" s="2"/>
    </row>
    <row r="3" customFormat="false" ht="7.5" hidden="false" customHeight="true" outlineLevel="0" collapsed="false"/>
    <row r="4" customFormat="false" ht="19.5" hidden="false" customHeight="true" outlineLevel="0" collapsed="false">
      <c r="B4" s="3" t="s">
        <v>542</v>
      </c>
      <c r="C4" s="4" t="s">
        <v>603</v>
      </c>
      <c r="D4" s="4"/>
      <c r="E4" s="4"/>
      <c r="F4" s="4"/>
      <c r="G4" s="4"/>
      <c r="H4" s="4"/>
    </row>
    <row r="5" customFormat="false" ht="19.5" hidden="false" customHeight="true" outlineLevel="0" collapsed="false">
      <c r="B5" s="3" t="s">
        <v>544</v>
      </c>
      <c r="C5" s="4" t="s">
        <v>609</v>
      </c>
      <c r="D5" s="4"/>
      <c r="E5" s="4"/>
      <c r="F5" s="4"/>
      <c r="G5" s="4"/>
      <c r="H5" s="4"/>
    </row>
    <row r="6" customFormat="false" ht="19.5" hidden="false" customHeight="true" outlineLevel="0" collapsed="false">
      <c r="B6" s="3" t="s">
        <v>18</v>
      </c>
      <c r="C6" s="4" t="s">
        <v>577</v>
      </c>
      <c r="D6" s="4"/>
      <c r="E6" s="4"/>
      <c r="F6" s="4"/>
      <c r="G6" s="4"/>
      <c r="H6" s="4"/>
    </row>
    <row r="7" customFormat="false" ht="19.5" hidden="false" customHeight="true" outlineLevel="0" collapsed="false">
      <c r="B7" s="3" t="s">
        <v>547</v>
      </c>
      <c r="C7" s="4" t="s">
        <v>605</v>
      </c>
      <c r="D7" s="4"/>
      <c r="E7" s="4"/>
      <c r="F7" s="4"/>
      <c r="G7" s="4"/>
      <c r="H7" s="4"/>
    </row>
    <row r="8" customFormat="false" ht="19.5" hidden="false" customHeight="true" outlineLevel="0" collapsed="false">
      <c r="B8" s="3" t="s">
        <v>549</v>
      </c>
      <c r="C8" s="28" t="n">
        <f aca="false">RINGKASAN!$J$25</f>
        <v>104791913</v>
      </c>
      <c r="D8" s="28"/>
      <c r="E8" s="28"/>
      <c r="F8" s="28"/>
      <c r="G8" s="28"/>
      <c r="H8" s="28"/>
    </row>
    <row r="9" customFormat="false" ht="19.5" hidden="false" customHeight="true" outlineLevel="0" collapsed="false">
      <c r="B9" s="3" t="s">
        <v>79</v>
      </c>
      <c r="C9" s="4" t="s">
        <v>80</v>
      </c>
      <c r="D9" s="4"/>
      <c r="E9" s="4"/>
      <c r="F9" s="4"/>
      <c r="G9" s="4"/>
      <c r="H9" s="4"/>
    </row>
    <row r="10" customFormat="false" ht="19.5" hidden="false" customHeight="true" outlineLevel="0" collapsed="false">
      <c r="B10" s="3" t="s">
        <v>9</v>
      </c>
      <c r="C10" s="4" t="s">
        <v>10</v>
      </c>
      <c r="D10" s="4"/>
      <c r="E10" s="4"/>
      <c r="F10" s="4"/>
      <c r="G10" s="4"/>
      <c r="H10" s="4"/>
    </row>
    <row r="12" customFormat="false" ht="21.75" hidden="false" customHeight="true" outlineLevel="0" collapsed="false">
      <c r="B12" s="19" t="s">
        <v>550</v>
      </c>
      <c r="C12" s="19"/>
      <c r="D12" s="19"/>
      <c r="E12" s="19"/>
      <c r="F12" s="19"/>
      <c r="G12" s="19"/>
      <c r="H12" s="19"/>
    </row>
    <row r="13" customFormat="false" ht="27.75" hidden="false" customHeight="true" outlineLevel="0" collapsed="false">
      <c r="B13" s="6" t="s">
        <v>16</v>
      </c>
      <c r="C13" s="6" t="s">
        <v>551</v>
      </c>
      <c r="D13" s="6" t="s">
        <v>552</v>
      </c>
      <c r="E13" s="6" t="s">
        <v>553</v>
      </c>
      <c r="F13" s="6" t="s">
        <v>87</v>
      </c>
      <c r="G13" s="6" t="s">
        <v>88</v>
      </c>
      <c r="H13" s="6" t="s">
        <v>554</v>
      </c>
    </row>
    <row r="14" customFormat="false" ht="21.75" hidden="false" customHeight="true" outlineLevel="0" collapsed="false">
      <c r="B14" s="29" t="s">
        <v>555</v>
      </c>
      <c r="C14" s="30" t="s">
        <v>556</v>
      </c>
      <c r="D14" s="31"/>
      <c r="E14" s="31"/>
      <c r="F14" s="31"/>
      <c r="G14" s="31"/>
      <c r="H14" s="31"/>
    </row>
    <row r="15" customFormat="false" ht="36" hidden="false" customHeight="true" outlineLevel="0" collapsed="false">
      <c r="B15" s="7" t="s">
        <v>557</v>
      </c>
      <c r="C15" s="20" t="s">
        <v>106</v>
      </c>
      <c r="D15" s="32" t="n">
        <v>45</v>
      </c>
      <c r="E15" s="32" t="n">
        <v>45</v>
      </c>
      <c r="F15" s="21" t="s">
        <v>92</v>
      </c>
      <c r="G15" s="9" t="n">
        <f aca="false">'Master of Price'!$G$19</f>
        <v>352000</v>
      </c>
      <c r="H15" s="9" t="n">
        <f aca="false">E15*G15</f>
        <v>15840000</v>
      </c>
    </row>
    <row r="16" customFormat="false" ht="27.75" hidden="false" customHeight="true" outlineLevel="0" collapsed="false">
      <c r="B16" s="10" t="s">
        <v>558</v>
      </c>
      <c r="C16" s="33" t="s">
        <v>94</v>
      </c>
      <c r="D16" s="34" t="n">
        <v>45</v>
      </c>
      <c r="E16" s="34" t="n">
        <v>45</v>
      </c>
      <c r="F16" s="35" t="s">
        <v>92</v>
      </c>
      <c r="G16" s="12" t="n">
        <f aca="false">'Master of Price'!$G$13</f>
        <v>100000</v>
      </c>
      <c r="H16" s="12" t="n">
        <f aca="false">E16*G16</f>
        <v>4500000</v>
      </c>
    </row>
    <row r="17" customFormat="false" ht="27.75" hidden="false" customHeight="true" outlineLevel="0" collapsed="false">
      <c r="B17" s="7" t="s">
        <v>559</v>
      </c>
      <c r="C17" s="20" t="s">
        <v>96</v>
      </c>
      <c r="D17" s="32" t="n">
        <v>45</v>
      </c>
      <c r="E17" s="32" t="n">
        <v>45</v>
      </c>
      <c r="F17" s="21" t="s">
        <v>92</v>
      </c>
      <c r="G17" s="9" t="n">
        <f aca="false">'Master of Price'!$G$14</f>
        <v>28000</v>
      </c>
      <c r="H17" s="9" t="n">
        <f aca="false">E17*G17</f>
        <v>1260000</v>
      </c>
    </row>
    <row r="18" customFormat="false" ht="27.75" hidden="false" customHeight="true" outlineLevel="0" collapsed="false">
      <c r="B18" s="10" t="s">
        <v>560</v>
      </c>
      <c r="C18" s="33" t="s">
        <v>98</v>
      </c>
      <c r="D18" s="34" t="n">
        <v>45</v>
      </c>
      <c r="E18" s="34" t="n">
        <v>45</v>
      </c>
      <c r="F18" s="35" t="s">
        <v>92</v>
      </c>
      <c r="G18" s="12" t="n">
        <f aca="false">'Master of Price'!$G$15</f>
        <v>45000</v>
      </c>
      <c r="H18" s="12" t="n">
        <f aca="false">E18*G18</f>
        <v>2025000</v>
      </c>
    </row>
    <row r="19" customFormat="false" ht="27.75" hidden="false" customHeight="true" outlineLevel="0" collapsed="false">
      <c r="B19" s="7" t="s">
        <v>561</v>
      </c>
      <c r="C19" s="20" t="s">
        <v>100</v>
      </c>
      <c r="D19" s="32" t="n">
        <v>45</v>
      </c>
      <c r="E19" s="32" t="n">
        <v>45</v>
      </c>
      <c r="F19" s="21" t="s">
        <v>92</v>
      </c>
      <c r="G19" s="9" t="n">
        <f aca="false">'Master of Price'!$G$16</f>
        <v>75000</v>
      </c>
      <c r="H19" s="9" t="n">
        <f aca="false">E19*G19</f>
        <v>3375000</v>
      </c>
    </row>
    <row r="20" customFormat="false" ht="25.5" hidden="false" customHeight="true" outlineLevel="0" collapsed="false">
      <c r="B20" s="27" t="s">
        <v>562</v>
      </c>
      <c r="C20" s="27"/>
      <c r="D20" s="27"/>
      <c r="E20" s="27"/>
      <c r="F20" s="27"/>
      <c r="G20" s="27"/>
      <c r="H20" s="14" t="n">
        <f aca="false">H15+H16+H17+H18+H19</f>
        <v>27000000</v>
      </c>
    </row>
    <row r="22" customFormat="false" ht="21.75" hidden="false" customHeight="true" outlineLevel="0" collapsed="false">
      <c r="B22" s="19" t="s">
        <v>563</v>
      </c>
      <c r="C22" s="19"/>
      <c r="D22" s="19"/>
      <c r="E22" s="19"/>
      <c r="F22" s="19"/>
      <c r="G22" s="19"/>
      <c r="H22" s="19"/>
    </row>
    <row r="23" customFormat="false" ht="27.75" hidden="false" customHeight="true" outlineLevel="0" collapsed="false">
      <c r="B23" s="6" t="s">
        <v>16</v>
      </c>
      <c r="C23" s="6" t="s">
        <v>551</v>
      </c>
      <c r="D23" s="6" t="s">
        <v>552</v>
      </c>
      <c r="E23" s="6" t="s">
        <v>553</v>
      </c>
      <c r="F23" s="6" t="s">
        <v>87</v>
      </c>
      <c r="G23" s="6" t="s">
        <v>88</v>
      </c>
      <c r="H23" s="6" t="s">
        <v>554</v>
      </c>
    </row>
    <row r="24" customFormat="false" ht="21.75" hidden="false" customHeight="true" outlineLevel="0" collapsed="false">
      <c r="B24" s="29" t="s">
        <v>555</v>
      </c>
      <c r="C24" s="30" t="s">
        <v>564</v>
      </c>
      <c r="D24" s="31"/>
      <c r="E24" s="31"/>
      <c r="F24" s="31"/>
      <c r="G24" s="31"/>
      <c r="H24" s="31"/>
    </row>
    <row r="25" customFormat="false" ht="27.75" hidden="false" customHeight="true" outlineLevel="0" collapsed="false">
      <c r="B25" s="7" t="s">
        <v>557</v>
      </c>
      <c r="C25" s="20" t="s">
        <v>114</v>
      </c>
      <c r="D25" s="32" t="n">
        <v>5.07</v>
      </c>
      <c r="E25" s="32" t="n">
        <v>5.07</v>
      </c>
      <c r="F25" s="21" t="s">
        <v>112</v>
      </c>
      <c r="G25" s="9" t="n">
        <f aca="false">'Master of Price'!$G$22</f>
        <v>47500</v>
      </c>
      <c r="H25" s="9" t="n">
        <f aca="false">E25*G25</f>
        <v>240825</v>
      </c>
    </row>
    <row r="26" customFormat="false" ht="21.75" hidden="false" customHeight="true" outlineLevel="0" collapsed="false">
      <c r="B26" s="10" t="s">
        <v>558</v>
      </c>
      <c r="C26" s="33" t="s">
        <v>116</v>
      </c>
      <c r="D26" s="34" t="n">
        <v>0.39</v>
      </c>
      <c r="E26" s="34" t="n">
        <v>0.39</v>
      </c>
      <c r="F26" s="35" t="s">
        <v>112</v>
      </c>
      <c r="G26" s="12" t="n">
        <f aca="false">'Master of Price'!$G$23</f>
        <v>90000</v>
      </c>
      <c r="H26" s="12" t="n">
        <f aca="false">E26*G26</f>
        <v>35100</v>
      </c>
    </row>
    <row r="27" customFormat="false" ht="21.75" hidden="false" customHeight="true" outlineLevel="0" collapsed="false">
      <c r="B27" s="7" t="s">
        <v>559</v>
      </c>
      <c r="C27" s="20" t="s">
        <v>118</v>
      </c>
      <c r="D27" s="32" t="n">
        <v>0.08</v>
      </c>
      <c r="E27" s="32" t="n">
        <v>0.08</v>
      </c>
      <c r="F27" s="21" t="s">
        <v>112</v>
      </c>
      <c r="G27" s="9" t="n">
        <f aca="false">'Master of Price'!$G$24</f>
        <v>130000</v>
      </c>
      <c r="H27" s="9" t="n">
        <f aca="false">E27*G27</f>
        <v>10400</v>
      </c>
    </row>
    <row r="28" customFormat="false" ht="27.75" hidden="false" customHeight="true" outlineLevel="0" collapsed="false">
      <c r="B28" s="10" t="s">
        <v>560</v>
      </c>
      <c r="C28" s="33" t="s">
        <v>120</v>
      </c>
      <c r="D28" s="34" t="n">
        <v>3.9</v>
      </c>
      <c r="E28" s="34" t="n">
        <v>3.9</v>
      </c>
      <c r="F28" s="35" t="s">
        <v>112</v>
      </c>
      <c r="G28" s="12" t="n">
        <f aca="false">'Master of Price'!$G$25</f>
        <v>700000</v>
      </c>
      <c r="H28" s="12" t="n">
        <f aca="false">E28*G28</f>
        <v>2730000</v>
      </c>
    </row>
    <row r="29" customFormat="false" ht="36" hidden="false" customHeight="true" outlineLevel="0" collapsed="false">
      <c r="B29" s="7" t="s">
        <v>561</v>
      </c>
      <c r="C29" s="20" t="s">
        <v>122</v>
      </c>
      <c r="D29" s="32" t="n">
        <v>0.975</v>
      </c>
      <c r="E29" s="32" t="n">
        <v>0.975</v>
      </c>
      <c r="F29" s="21" t="s">
        <v>112</v>
      </c>
      <c r="G29" s="9" t="n">
        <f aca="false">'Master of Price'!$G$26</f>
        <v>1000000</v>
      </c>
      <c r="H29" s="9" t="n">
        <f aca="false">E29*G29</f>
        <v>975000</v>
      </c>
    </row>
    <row r="30" customFormat="false" ht="36" hidden="false" customHeight="true" outlineLevel="0" collapsed="false">
      <c r="B30" s="10" t="s">
        <v>579</v>
      </c>
      <c r="C30" s="33" t="s">
        <v>111</v>
      </c>
      <c r="D30" s="34" t="n">
        <v>0.1</v>
      </c>
      <c r="E30" s="34" t="n">
        <v>0.1</v>
      </c>
      <c r="F30" s="35" t="s">
        <v>112</v>
      </c>
      <c r="G30" s="12" t="n">
        <f aca="false">'Master of Price'!$G$21</f>
        <v>1000000</v>
      </c>
      <c r="H30" s="12" t="n">
        <f aca="false">E30*G30</f>
        <v>100000</v>
      </c>
    </row>
    <row r="31" customFormat="false" ht="25.5" hidden="false" customHeight="true" outlineLevel="0" collapsed="false">
      <c r="B31" s="27" t="s">
        <v>565</v>
      </c>
      <c r="C31" s="27"/>
      <c r="D31" s="27"/>
      <c r="E31" s="27"/>
      <c r="F31" s="27"/>
      <c r="G31" s="27"/>
      <c r="H31" s="14" t="n">
        <f aca="false">H25+H26+H27+H28+H29+H30</f>
        <v>4091325</v>
      </c>
    </row>
    <row r="33" customFormat="false" ht="21.75" hidden="false" customHeight="true" outlineLevel="0" collapsed="false">
      <c r="B33" s="19" t="s">
        <v>566</v>
      </c>
      <c r="C33" s="19"/>
      <c r="D33" s="19"/>
      <c r="E33" s="19"/>
      <c r="F33" s="19"/>
      <c r="G33" s="19"/>
      <c r="H33" s="19"/>
    </row>
    <row r="34" customFormat="false" ht="27.75" hidden="false" customHeight="true" outlineLevel="0" collapsed="false">
      <c r="B34" s="6" t="s">
        <v>16</v>
      </c>
      <c r="C34" s="6" t="s">
        <v>551</v>
      </c>
      <c r="D34" s="6" t="s">
        <v>552</v>
      </c>
      <c r="E34" s="6" t="s">
        <v>553</v>
      </c>
      <c r="F34" s="6" t="s">
        <v>87</v>
      </c>
      <c r="G34" s="6" t="s">
        <v>88</v>
      </c>
      <c r="H34" s="6" t="s">
        <v>554</v>
      </c>
    </row>
    <row r="35" customFormat="false" ht="21.75" hidden="false" customHeight="true" outlineLevel="0" collapsed="false">
      <c r="B35" s="29" t="s">
        <v>555</v>
      </c>
      <c r="C35" s="30" t="s">
        <v>580</v>
      </c>
      <c r="D35" s="31"/>
      <c r="E35" s="31"/>
      <c r="F35" s="31"/>
      <c r="G35" s="31"/>
      <c r="H35" s="31"/>
    </row>
    <row r="36" customFormat="false" ht="36" hidden="false" customHeight="true" outlineLevel="0" collapsed="false">
      <c r="B36" s="7" t="s">
        <v>557</v>
      </c>
      <c r="C36" s="20" t="s">
        <v>133</v>
      </c>
      <c r="D36" s="32" t="n">
        <v>1</v>
      </c>
      <c r="E36" s="32" t="n">
        <v>1</v>
      </c>
      <c r="F36" s="21" t="s">
        <v>128</v>
      </c>
      <c r="G36" s="9" t="n">
        <f aca="false">'Master of Price'!$G$30</f>
        <v>24000000</v>
      </c>
      <c r="H36" s="9" t="n">
        <f aca="false">E36*G36</f>
        <v>24000000</v>
      </c>
    </row>
    <row r="37" customFormat="false" ht="27.75" hidden="false" customHeight="true" outlineLevel="0" collapsed="false">
      <c r="B37" s="10" t="s">
        <v>558</v>
      </c>
      <c r="C37" s="33" t="s">
        <v>135</v>
      </c>
      <c r="D37" s="34" t="n">
        <v>1</v>
      </c>
      <c r="E37" s="34" t="n">
        <v>1</v>
      </c>
      <c r="F37" s="35" t="s">
        <v>131</v>
      </c>
      <c r="G37" s="12" t="n">
        <f aca="false">'Master of Price'!$G$31</f>
        <v>1500000</v>
      </c>
      <c r="H37" s="12" t="n">
        <f aca="false">E37*G37</f>
        <v>1500000</v>
      </c>
    </row>
    <row r="38" customFormat="false" ht="36" hidden="false" customHeight="true" outlineLevel="0" collapsed="false">
      <c r="B38" s="7" t="s">
        <v>559</v>
      </c>
      <c r="C38" s="20" t="s">
        <v>137</v>
      </c>
      <c r="D38" s="32" t="n">
        <v>5</v>
      </c>
      <c r="E38" s="32" t="n">
        <v>5</v>
      </c>
      <c r="F38" s="21" t="s">
        <v>128</v>
      </c>
      <c r="G38" s="9" t="n">
        <f aca="false">'Master of Price'!$G$32</f>
        <v>2100000</v>
      </c>
      <c r="H38" s="9" t="n">
        <f aca="false">E38*G38</f>
        <v>10500000</v>
      </c>
    </row>
    <row r="39" customFormat="false" ht="36" hidden="false" customHeight="true" outlineLevel="0" collapsed="false">
      <c r="B39" s="10" t="s">
        <v>560</v>
      </c>
      <c r="C39" s="33" t="s">
        <v>139</v>
      </c>
      <c r="D39" s="34" t="n">
        <v>1</v>
      </c>
      <c r="E39" s="34" t="n">
        <v>1</v>
      </c>
      <c r="F39" s="35" t="s">
        <v>140</v>
      </c>
      <c r="G39" s="12" t="n">
        <f aca="false">'Master of Price'!$G$33</f>
        <v>4500000</v>
      </c>
      <c r="H39" s="12" t="n">
        <f aca="false">E39*G39</f>
        <v>4500000</v>
      </c>
    </row>
    <row r="40" customFormat="false" ht="36" hidden="false" customHeight="true" outlineLevel="0" collapsed="false">
      <c r="B40" s="7" t="s">
        <v>561</v>
      </c>
      <c r="C40" s="20" t="s">
        <v>142</v>
      </c>
      <c r="D40" s="32" t="n">
        <v>1</v>
      </c>
      <c r="E40" s="32" t="n">
        <v>1</v>
      </c>
      <c r="F40" s="21" t="s">
        <v>131</v>
      </c>
      <c r="G40" s="9" t="n">
        <f aca="false">'Master of Price'!$G$34</f>
        <v>2500000</v>
      </c>
      <c r="H40" s="9" t="n">
        <f aca="false">E40*G40</f>
        <v>2500000</v>
      </c>
    </row>
    <row r="41" customFormat="false" ht="21.75" hidden="false" customHeight="true" outlineLevel="0" collapsed="false">
      <c r="B41" s="10" t="s">
        <v>579</v>
      </c>
      <c r="C41" s="33" t="s">
        <v>568</v>
      </c>
      <c r="D41" s="34" t="n">
        <v>1</v>
      </c>
      <c r="E41" s="34" t="n">
        <v>1</v>
      </c>
      <c r="F41" s="35" t="s">
        <v>131</v>
      </c>
      <c r="G41" s="12" t="n">
        <f aca="false">H45-(H20+H31+H36+H37+H38+H39+H40)</f>
        <v>30700588</v>
      </c>
      <c r="H41" s="12" t="n">
        <f aca="false">E41*G41</f>
        <v>30700588</v>
      </c>
    </row>
    <row r="42" customFormat="false" ht="25.5" hidden="false" customHeight="true" outlineLevel="0" collapsed="false">
      <c r="B42" s="27" t="s">
        <v>569</v>
      </c>
      <c r="C42" s="27"/>
      <c r="D42" s="27"/>
      <c r="E42" s="27"/>
      <c r="F42" s="27"/>
      <c r="G42" s="27"/>
      <c r="H42" s="14" t="n">
        <f aca="false">H36+H37+H38+H39+H40+H41</f>
        <v>73700588</v>
      </c>
    </row>
    <row r="44" customFormat="false" ht="27.75" hidden="false" customHeight="true" outlineLevel="0" collapsed="false">
      <c r="B44" s="13" t="s">
        <v>570</v>
      </c>
      <c r="C44" s="13"/>
      <c r="D44" s="13"/>
      <c r="E44" s="13"/>
      <c r="F44" s="13"/>
      <c r="G44" s="13"/>
      <c r="H44" s="15" t="n">
        <f aca="false">H20+H31+H42</f>
        <v>104791913</v>
      </c>
    </row>
    <row r="45" customFormat="false" ht="21.75" hidden="false" customHeight="true" outlineLevel="0" collapsed="false">
      <c r="B45" s="36" t="s">
        <v>571</v>
      </c>
      <c r="C45" s="36"/>
      <c r="D45" s="36"/>
      <c r="E45" s="36"/>
      <c r="F45" s="36"/>
      <c r="G45" s="36"/>
      <c r="H45" s="37" t="n">
        <f aca="false">RINGKASAN!$J$25</f>
        <v>104791913</v>
      </c>
    </row>
    <row r="46" customFormat="false" ht="21.75" hidden="false" customHeight="true" outlineLevel="0" collapsed="false">
      <c r="B46" s="38" t="s">
        <v>572</v>
      </c>
      <c r="C46" s="38"/>
      <c r="D46" s="38"/>
      <c r="E46" s="38"/>
      <c r="F46" s="38"/>
      <c r="G46" s="38"/>
      <c r="H46" s="9" t="n">
        <f aca="false">H44-H45</f>
        <v>0</v>
      </c>
    </row>
    <row r="47" customFormat="false" ht="21.75" hidden="false" customHeight="true" outlineLevel="0" collapsed="false">
      <c r="B47" s="39" t="s">
        <v>573</v>
      </c>
      <c r="C47" s="39"/>
      <c r="D47" s="39"/>
      <c r="E47" s="39"/>
      <c r="F47" s="39"/>
      <c r="G47" s="39"/>
      <c r="H47" s="10" t="str">
        <f aca="false">IF(H41&lt;0,"OVER BUDGET","OK")</f>
        <v>OK</v>
      </c>
    </row>
  </sheetData>
  <mergeCells count="21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2:H22"/>
    <mergeCell ref="D24:H24"/>
    <mergeCell ref="B31:G31"/>
    <mergeCell ref="B33:H33"/>
    <mergeCell ref="D35:H35"/>
    <mergeCell ref="B42:G42"/>
    <mergeCell ref="B44:G44"/>
    <mergeCell ref="B45:G45"/>
    <mergeCell ref="B46:G46"/>
    <mergeCell ref="B47:G47"/>
  </mergeCells>
  <conditionalFormatting sqref="H4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</cols>
  <sheetData>
    <row r="1" customFormat="false" ht="15" hidden="false" customHeight="false" outlineLevel="0" collapsed="false"/>
    <row r="2" customFormat="false" ht="31.5" hidden="false" customHeight="true" outlineLevel="0" collapsed="false">
      <c r="B2" s="2" t="s">
        <v>610</v>
      </c>
      <c r="C2" s="2"/>
      <c r="D2" s="2"/>
      <c r="E2" s="2"/>
      <c r="F2" s="2"/>
      <c r="G2" s="2"/>
      <c r="H2" s="2"/>
    </row>
    <row r="3" customFormat="false" ht="7.5" hidden="false" customHeight="true" outlineLevel="0" collapsed="false"/>
    <row r="4" customFormat="false" ht="19.5" hidden="false" customHeight="true" outlineLevel="0" collapsed="false">
      <c r="B4" s="3" t="s">
        <v>542</v>
      </c>
      <c r="C4" s="4" t="s">
        <v>611</v>
      </c>
      <c r="D4" s="4"/>
      <c r="E4" s="4"/>
      <c r="F4" s="4"/>
      <c r="G4" s="4"/>
      <c r="H4" s="4"/>
    </row>
    <row r="5" customFormat="false" ht="19.5" hidden="false" customHeight="true" outlineLevel="0" collapsed="false">
      <c r="B5" s="3" t="s">
        <v>544</v>
      </c>
      <c r="C5" s="4" t="s">
        <v>612</v>
      </c>
      <c r="D5" s="4"/>
      <c r="E5" s="4"/>
      <c r="F5" s="4"/>
      <c r="G5" s="4"/>
      <c r="H5" s="4"/>
    </row>
    <row r="6" customFormat="false" ht="19.5" hidden="false" customHeight="true" outlineLevel="0" collapsed="false">
      <c r="B6" s="3" t="s">
        <v>18</v>
      </c>
      <c r="C6" s="4" t="s">
        <v>577</v>
      </c>
      <c r="D6" s="4"/>
      <c r="E6" s="4"/>
      <c r="F6" s="4"/>
      <c r="G6" s="4"/>
      <c r="H6" s="4"/>
    </row>
    <row r="7" customFormat="false" ht="19.5" hidden="false" customHeight="true" outlineLevel="0" collapsed="false">
      <c r="B7" s="3" t="s">
        <v>547</v>
      </c>
      <c r="C7" s="4" t="s">
        <v>613</v>
      </c>
      <c r="D7" s="4"/>
      <c r="E7" s="4"/>
      <c r="F7" s="4"/>
      <c r="G7" s="4"/>
      <c r="H7" s="4"/>
    </row>
    <row r="8" customFormat="false" ht="19.5" hidden="false" customHeight="true" outlineLevel="0" collapsed="false">
      <c r="B8" s="3" t="s">
        <v>549</v>
      </c>
      <c r="C8" s="28" t="n">
        <f aca="false">RINGKASAN!$J$26</f>
        <v>75939562</v>
      </c>
      <c r="D8" s="28"/>
      <c r="E8" s="28"/>
      <c r="F8" s="28"/>
      <c r="G8" s="28"/>
      <c r="H8" s="28"/>
    </row>
    <row r="9" customFormat="false" ht="19.5" hidden="false" customHeight="true" outlineLevel="0" collapsed="false">
      <c r="B9" s="3" t="s">
        <v>79</v>
      </c>
      <c r="C9" s="4" t="s">
        <v>80</v>
      </c>
      <c r="D9" s="4"/>
      <c r="E9" s="4"/>
      <c r="F9" s="4"/>
      <c r="G9" s="4"/>
      <c r="H9" s="4"/>
    </row>
    <row r="10" customFormat="false" ht="19.5" hidden="false" customHeight="true" outlineLevel="0" collapsed="false">
      <c r="B10" s="3" t="s">
        <v>9</v>
      </c>
      <c r="C10" s="4" t="s">
        <v>10</v>
      </c>
      <c r="D10" s="4"/>
      <c r="E10" s="4"/>
      <c r="F10" s="4"/>
      <c r="G10" s="4"/>
      <c r="H10" s="4"/>
    </row>
    <row r="12" customFormat="false" ht="21.75" hidden="false" customHeight="true" outlineLevel="0" collapsed="false">
      <c r="B12" s="19" t="s">
        <v>550</v>
      </c>
      <c r="C12" s="19"/>
      <c r="D12" s="19"/>
      <c r="E12" s="19"/>
      <c r="F12" s="19"/>
      <c r="G12" s="19"/>
      <c r="H12" s="19"/>
    </row>
    <row r="13" customFormat="false" ht="27.75" hidden="false" customHeight="true" outlineLevel="0" collapsed="false">
      <c r="B13" s="6" t="s">
        <v>16</v>
      </c>
      <c r="C13" s="6" t="s">
        <v>551</v>
      </c>
      <c r="D13" s="6" t="s">
        <v>552</v>
      </c>
      <c r="E13" s="6" t="s">
        <v>553</v>
      </c>
      <c r="F13" s="6" t="s">
        <v>87</v>
      </c>
      <c r="G13" s="6" t="s">
        <v>88</v>
      </c>
      <c r="H13" s="6" t="s">
        <v>554</v>
      </c>
    </row>
    <row r="14" customFormat="false" ht="21.75" hidden="false" customHeight="true" outlineLevel="0" collapsed="false">
      <c r="B14" s="29" t="s">
        <v>555</v>
      </c>
      <c r="C14" s="30" t="s">
        <v>556</v>
      </c>
      <c r="D14" s="31"/>
      <c r="E14" s="31"/>
      <c r="F14" s="31"/>
      <c r="G14" s="31"/>
      <c r="H14" s="31"/>
    </row>
    <row r="15" customFormat="false" ht="36" hidden="false" customHeight="true" outlineLevel="0" collapsed="false">
      <c r="B15" s="7" t="s">
        <v>557</v>
      </c>
      <c r="C15" s="20" t="s">
        <v>108</v>
      </c>
      <c r="D15" s="32" t="n">
        <v>42</v>
      </c>
      <c r="E15" s="32" t="n">
        <v>42</v>
      </c>
      <c r="F15" s="21" t="s">
        <v>92</v>
      </c>
      <c r="G15" s="9" t="n">
        <f aca="false">'Master of Price'!$G$20</f>
        <v>352000</v>
      </c>
      <c r="H15" s="9" t="n">
        <f aca="false">E15*G15</f>
        <v>14784000</v>
      </c>
    </row>
    <row r="16" customFormat="false" ht="27.75" hidden="false" customHeight="true" outlineLevel="0" collapsed="false">
      <c r="B16" s="10" t="s">
        <v>558</v>
      </c>
      <c r="C16" s="33" t="s">
        <v>94</v>
      </c>
      <c r="D16" s="34" t="n">
        <v>42</v>
      </c>
      <c r="E16" s="34" t="n">
        <v>42</v>
      </c>
      <c r="F16" s="35" t="s">
        <v>92</v>
      </c>
      <c r="G16" s="12" t="n">
        <f aca="false">'Master of Price'!$G$13</f>
        <v>100000</v>
      </c>
      <c r="H16" s="12" t="n">
        <f aca="false">E16*G16</f>
        <v>4200000</v>
      </c>
    </row>
    <row r="17" customFormat="false" ht="27.75" hidden="false" customHeight="true" outlineLevel="0" collapsed="false">
      <c r="B17" s="7" t="s">
        <v>559</v>
      </c>
      <c r="C17" s="20" t="s">
        <v>96</v>
      </c>
      <c r="D17" s="32" t="n">
        <v>42</v>
      </c>
      <c r="E17" s="32" t="n">
        <v>42</v>
      </c>
      <c r="F17" s="21" t="s">
        <v>92</v>
      </c>
      <c r="G17" s="9" t="n">
        <f aca="false">'Master of Price'!$G$14</f>
        <v>28000</v>
      </c>
      <c r="H17" s="9" t="n">
        <f aca="false">E17*G17</f>
        <v>1176000</v>
      </c>
    </row>
    <row r="18" customFormat="false" ht="27.75" hidden="false" customHeight="true" outlineLevel="0" collapsed="false">
      <c r="B18" s="10" t="s">
        <v>560</v>
      </c>
      <c r="C18" s="33" t="s">
        <v>98</v>
      </c>
      <c r="D18" s="34" t="n">
        <v>42</v>
      </c>
      <c r="E18" s="34" t="n">
        <v>42</v>
      </c>
      <c r="F18" s="35" t="s">
        <v>92</v>
      </c>
      <c r="G18" s="12" t="n">
        <f aca="false">'Master of Price'!$G$15</f>
        <v>45000</v>
      </c>
      <c r="H18" s="12" t="n">
        <f aca="false">E18*G18</f>
        <v>1890000</v>
      </c>
    </row>
    <row r="19" customFormat="false" ht="27.75" hidden="false" customHeight="true" outlineLevel="0" collapsed="false">
      <c r="B19" s="7" t="s">
        <v>561</v>
      </c>
      <c r="C19" s="20" t="s">
        <v>100</v>
      </c>
      <c r="D19" s="32" t="n">
        <v>42</v>
      </c>
      <c r="E19" s="32" t="n">
        <v>42</v>
      </c>
      <c r="F19" s="21" t="s">
        <v>92</v>
      </c>
      <c r="G19" s="9" t="n">
        <f aca="false">'Master of Price'!$G$16</f>
        <v>75000</v>
      </c>
      <c r="H19" s="9" t="n">
        <f aca="false">E19*G19</f>
        <v>3150000</v>
      </c>
    </row>
    <row r="20" customFormat="false" ht="25.5" hidden="false" customHeight="true" outlineLevel="0" collapsed="false">
      <c r="B20" s="27" t="s">
        <v>562</v>
      </c>
      <c r="C20" s="27"/>
      <c r="D20" s="27"/>
      <c r="E20" s="27"/>
      <c r="F20" s="27"/>
      <c r="G20" s="27"/>
      <c r="H20" s="14" t="n">
        <f aca="false">H15+H16+H17+H18+H19</f>
        <v>25200000</v>
      </c>
    </row>
    <row r="22" customFormat="false" ht="21.75" hidden="false" customHeight="true" outlineLevel="0" collapsed="false">
      <c r="B22" s="19" t="s">
        <v>563</v>
      </c>
      <c r="C22" s="19"/>
      <c r="D22" s="19"/>
      <c r="E22" s="19"/>
      <c r="F22" s="19"/>
      <c r="G22" s="19"/>
      <c r="H22" s="19"/>
    </row>
    <row r="23" customFormat="false" ht="27.75" hidden="false" customHeight="true" outlineLevel="0" collapsed="false">
      <c r="B23" s="6" t="s">
        <v>16</v>
      </c>
      <c r="C23" s="6" t="s">
        <v>551</v>
      </c>
      <c r="D23" s="6" t="s">
        <v>552</v>
      </c>
      <c r="E23" s="6" t="s">
        <v>553</v>
      </c>
      <c r="F23" s="6" t="s">
        <v>87</v>
      </c>
      <c r="G23" s="6" t="s">
        <v>88</v>
      </c>
      <c r="H23" s="6" t="s">
        <v>554</v>
      </c>
    </row>
    <row r="24" customFormat="false" ht="21.75" hidden="false" customHeight="true" outlineLevel="0" collapsed="false">
      <c r="B24" s="29" t="s">
        <v>555</v>
      </c>
      <c r="C24" s="30" t="s">
        <v>564</v>
      </c>
      <c r="D24" s="31"/>
      <c r="E24" s="31"/>
      <c r="F24" s="31"/>
      <c r="G24" s="31"/>
      <c r="H24" s="31"/>
    </row>
    <row r="25" customFormat="false" ht="27.75" hidden="false" customHeight="true" outlineLevel="0" collapsed="false">
      <c r="B25" s="7" t="s">
        <v>557</v>
      </c>
      <c r="C25" s="20" t="s">
        <v>114</v>
      </c>
      <c r="D25" s="32" t="n">
        <v>5.07</v>
      </c>
      <c r="E25" s="32" t="n">
        <v>5.07</v>
      </c>
      <c r="F25" s="21" t="s">
        <v>112</v>
      </c>
      <c r="G25" s="9" t="n">
        <f aca="false">'Master of Price'!$G$22</f>
        <v>47500</v>
      </c>
      <c r="H25" s="9" t="n">
        <f aca="false">E25*G25</f>
        <v>240825</v>
      </c>
    </row>
    <row r="26" customFormat="false" ht="21.75" hidden="false" customHeight="true" outlineLevel="0" collapsed="false">
      <c r="B26" s="10" t="s">
        <v>558</v>
      </c>
      <c r="C26" s="33" t="s">
        <v>116</v>
      </c>
      <c r="D26" s="34" t="n">
        <v>0.39</v>
      </c>
      <c r="E26" s="34" t="n">
        <v>0.39</v>
      </c>
      <c r="F26" s="35" t="s">
        <v>112</v>
      </c>
      <c r="G26" s="12" t="n">
        <f aca="false">'Master of Price'!$G$23</f>
        <v>90000</v>
      </c>
      <c r="H26" s="12" t="n">
        <f aca="false">E26*G26</f>
        <v>35100</v>
      </c>
    </row>
    <row r="27" customFormat="false" ht="21.75" hidden="false" customHeight="true" outlineLevel="0" collapsed="false">
      <c r="B27" s="7" t="s">
        <v>559</v>
      </c>
      <c r="C27" s="20" t="s">
        <v>118</v>
      </c>
      <c r="D27" s="32" t="n">
        <v>0.08</v>
      </c>
      <c r="E27" s="32" t="n">
        <v>0.08</v>
      </c>
      <c r="F27" s="21" t="s">
        <v>112</v>
      </c>
      <c r="G27" s="9" t="n">
        <f aca="false">'Master of Price'!$G$24</f>
        <v>130000</v>
      </c>
      <c r="H27" s="9" t="n">
        <f aca="false">E27*G27</f>
        <v>10400</v>
      </c>
    </row>
    <row r="28" customFormat="false" ht="27.75" hidden="false" customHeight="true" outlineLevel="0" collapsed="false">
      <c r="B28" s="10" t="s">
        <v>560</v>
      </c>
      <c r="C28" s="33" t="s">
        <v>120</v>
      </c>
      <c r="D28" s="34" t="n">
        <v>3.9</v>
      </c>
      <c r="E28" s="34" t="n">
        <v>3.9</v>
      </c>
      <c r="F28" s="35" t="s">
        <v>112</v>
      </c>
      <c r="G28" s="12" t="n">
        <f aca="false">'Master of Price'!$G$25</f>
        <v>700000</v>
      </c>
      <c r="H28" s="12" t="n">
        <f aca="false">E28*G28</f>
        <v>2730000</v>
      </c>
    </row>
    <row r="29" customFormat="false" ht="36" hidden="false" customHeight="true" outlineLevel="0" collapsed="false">
      <c r="B29" s="7" t="s">
        <v>561</v>
      </c>
      <c r="C29" s="20" t="s">
        <v>122</v>
      </c>
      <c r="D29" s="32" t="n">
        <v>0.975</v>
      </c>
      <c r="E29" s="32" t="n">
        <v>0.975</v>
      </c>
      <c r="F29" s="21" t="s">
        <v>112</v>
      </c>
      <c r="G29" s="9" t="n">
        <f aca="false">'Master of Price'!$G$26</f>
        <v>1000000</v>
      </c>
      <c r="H29" s="9" t="n">
        <f aca="false">E29*G29</f>
        <v>975000</v>
      </c>
    </row>
    <row r="30" customFormat="false" ht="36" hidden="false" customHeight="true" outlineLevel="0" collapsed="false">
      <c r="B30" s="10" t="s">
        <v>579</v>
      </c>
      <c r="C30" s="33" t="s">
        <v>111</v>
      </c>
      <c r="D30" s="34" t="n">
        <v>0.1</v>
      </c>
      <c r="E30" s="34" t="n">
        <v>0.1</v>
      </c>
      <c r="F30" s="35" t="s">
        <v>112</v>
      </c>
      <c r="G30" s="12" t="n">
        <f aca="false">'Master of Price'!$G$21</f>
        <v>1000000</v>
      </c>
      <c r="H30" s="12" t="n">
        <f aca="false">E30*G30</f>
        <v>100000</v>
      </c>
    </row>
    <row r="31" customFormat="false" ht="25.5" hidden="false" customHeight="true" outlineLevel="0" collapsed="false">
      <c r="B31" s="27" t="s">
        <v>565</v>
      </c>
      <c r="C31" s="27"/>
      <c r="D31" s="27"/>
      <c r="E31" s="27"/>
      <c r="F31" s="27"/>
      <c r="G31" s="27"/>
      <c r="H31" s="14" t="n">
        <f aca="false">H25+H26+H27+H28+H29+H30</f>
        <v>4091325</v>
      </c>
    </row>
    <row r="33" customFormat="false" ht="21.75" hidden="false" customHeight="true" outlineLevel="0" collapsed="false">
      <c r="B33" s="19" t="s">
        <v>566</v>
      </c>
      <c r="C33" s="19"/>
      <c r="D33" s="19"/>
      <c r="E33" s="19"/>
      <c r="F33" s="19"/>
      <c r="G33" s="19"/>
      <c r="H33" s="19"/>
    </row>
    <row r="34" customFormat="false" ht="27.75" hidden="false" customHeight="true" outlineLevel="0" collapsed="false">
      <c r="B34" s="6" t="s">
        <v>16</v>
      </c>
      <c r="C34" s="6" t="s">
        <v>551</v>
      </c>
      <c r="D34" s="6" t="s">
        <v>552</v>
      </c>
      <c r="E34" s="6" t="s">
        <v>553</v>
      </c>
      <c r="F34" s="6" t="s">
        <v>87</v>
      </c>
      <c r="G34" s="6" t="s">
        <v>88</v>
      </c>
      <c r="H34" s="6" t="s">
        <v>554</v>
      </c>
    </row>
    <row r="35" customFormat="false" ht="21.75" hidden="false" customHeight="true" outlineLevel="0" collapsed="false">
      <c r="B35" s="29" t="s">
        <v>555</v>
      </c>
      <c r="C35" s="30" t="s">
        <v>580</v>
      </c>
      <c r="D35" s="31"/>
      <c r="E35" s="31"/>
      <c r="F35" s="31"/>
      <c r="G35" s="31"/>
      <c r="H35" s="31"/>
    </row>
    <row r="36" customFormat="false" ht="36" hidden="false" customHeight="true" outlineLevel="0" collapsed="false">
      <c r="B36" s="7" t="s">
        <v>557</v>
      </c>
      <c r="C36" s="20" t="s">
        <v>133</v>
      </c>
      <c r="D36" s="32" t="n">
        <v>1</v>
      </c>
      <c r="E36" s="32" t="n">
        <v>1</v>
      </c>
      <c r="F36" s="21" t="s">
        <v>128</v>
      </c>
      <c r="G36" s="9" t="n">
        <f aca="false">'Master of Price'!$G$30</f>
        <v>24000000</v>
      </c>
      <c r="H36" s="9" t="n">
        <f aca="false">E36*G36</f>
        <v>24000000</v>
      </c>
    </row>
    <row r="37" customFormat="false" ht="27.75" hidden="false" customHeight="true" outlineLevel="0" collapsed="false">
      <c r="B37" s="10" t="s">
        <v>558</v>
      </c>
      <c r="C37" s="33" t="s">
        <v>135</v>
      </c>
      <c r="D37" s="34" t="n">
        <v>1</v>
      </c>
      <c r="E37" s="34" t="n">
        <v>1</v>
      </c>
      <c r="F37" s="35" t="s">
        <v>131</v>
      </c>
      <c r="G37" s="12" t="n">
        <f aca="false">'Master of Price'!$G$31</f>
        <v>1500000</v>
      </c>
      <c r="H37" s="12" t="n">
        <f aca="false">E37*G37</f>
        <v>1500000</v>
      </c>
    </row>
    <row r="38" customFormat="false" ht="36" hidden="false" customHeight="true" outlineLevel="0" collapsed="false">
      <c r="B38" s="7" t="s">
        <v>559</v>
      </c>
      <c r="C38" s="20" t="s">
        <v>137</v>
      </c>
      <c r="D38" s="32" t="n">
        <v>5</v>
      </c>
      <c r="E38" s="32" t="n">
        <v>5</v>
      </c>
      <c r="F38" s="21" t="s">
        <v>128</v>
      </c>
      <c r="G38" s="9" t="n">
        <f aca="false">'Master of Price'!$G$32</f>
        <v>2100000</v>
      </c>
      <c r="H38" s="9" t="n">
        <f aca="false">E38*G38</f>
        <v>10500000</v>
      </c>
    </row>
    <row r="39" customFormat="false" ht="36" hidden="false" customHeight="true" outlineLevel="0" collapsed="false">
      <c r="B39" s="10" t="s">
        <v>560</v>
      </c>
      <c r="C39" s="33" t="s">
        <v>139</v>
      </c>
      <c r="D39" s="34" t="n">
        <v>1</v>
      </c>
      <c r="E39" s="34" t="n">
        <v>1</v>
      </c>
      <c r="F39" s="35" t="s">
        <v>140</v>
      </c>
      <c r="G39" s="12" t="n">
        <f aca="false">'Master of Price'!$G$33</f>
        <v>4500000</v>
      </c>
      <c r="H39" s="12" t="n">
        <f aca="false">E39*G39</f>
        <v>4500000</v>
      </c>
    </row>
    <row r="40" customFormat="false" ht="36" hidden="false" customHeight="true" outlineLevel="0" collapsed="false">
      <c r="B40" s="7" t="s">
        <v>561</v>
      </c>
      <c r="C40" s="20" t="s">
        <v>142</v>
      </c>
      <c r="D40" s="32" t="n">
        <v>1</v>
      </c>
      <c r="E40" s="32" t="n">
        <v>1</v>
      </c>
      <c r="F40" s="21" t="s">
        <v>131</v>
      </c>
      <c r="G40" s="9" t="n">
        <f aca="false">'Master of Price'!$G$34</f>
        <v>2500000</v>
      </c>
      <c r="H40" s="9" t="n">
        <f aca="false">E40*G40</f>
        <v>2500000</v>
      </c>
    </row>
    <row r="41" customFormat="false" ht="21.75" hidden="false" customHeight="true" outlineLevel="0" collapsed="false">
      <c r="B41" s="10" t="s">
        <v>579</v>
      </c>
      <c r="C41" s="33" t="s">
        <v>568</v>
      </c>
      <c r="D41" s="34" t="n">
        <v>1</v>
      </c>
      <c r="E41" s="34" t="n">
        <v>1</v>
      </c>
      <c r="F41" s="35" t="s">
        <v>131</v>
      </c>
      <c r="G41" s="12" t="n">
        <f aca="false">H45-(H20+H31+H36+H37+H38+H39+H40)</f>
        <v>3648237</v>
      </c>
      <c r="H41" s="12" t="n">
        <f aca="false">E41*G41</f>
        <v>3648237</v>
      </c>
    </row>
    <row r="42" customFormat="false" ht="25.5" hidden="false" customHeight="true" outlineLevel="0" collapsed="false">
      <c r="B42" s="27" t="s">
        <v>569</v>
      </c>
      <c r="C42" s="27"/>
      <c r="D42" s="27"/>
      <c r="E42" s="27"/>
      <c r="F42" s="27"/>
      <c r="G42" s="27"/>
      <c r="H42" s="14" t="n">
        <f aca="false">H36+H37+H38+H39+H40+H41</f>
        <v>46648237</v>
      </c>
    </row>
    <row r="44" customFormat="false" ht="27.75" hidden="false" customHeight="true" outlineLevel="0" collapsed="false">
      <c r="B44" s="13" t="s">
        <v>570</v>
      </c>
      <c r="C44" s="13"/>
      <c r="D44" s="13"/>
      <c r="E44" s="13"/>
      <c r="F44" s="13"/>
      <c r="G44" s="13"/>
      <c r="H44" s="15" t="n">
        <f aca="false">H20+H31+H42</f>
        <v>75939562</v>
      </c>
    </row>
    <row r="45" customFormat="false" ht="21.75" hidden="false" customHeight="true" outlineLevel="0" collapsed="false">
      <c r="B45" s="36" t="s">
        <v>571</v>
      </c>
      <c r="C45" s="36"/>
      <c r="D45" s="36"/>
      <c r="E45" s="36"/>
      <c r="F45" s="36"/>
      <c r="G45" s="36"/>
      <c r="H45" s="37" t="n">
        <f aca="false">RINGKASAN!$J$26</f>
        <v>75939562</v>
      </c>
    </row>
    <row r="46" customFormat="false" ht="21.75" hidden="false" customHeight="true" outlineLevel="0" collapsed="false">
      <c r="B46" s="38" t="s">
        <v>572</v>
      </c>
      <c r="C46" s="38"/>
      <c r="D46" s="38"/>
      <c r="E46" s="38"/>
      <c r="F46" s="38"/>
      <c r="G46" s="38"/>
      <c r="H46" s="9" t="n">
        <f aca="false">H44-H45</f>
        <v>0</v>
      </c>
    </row>
    <row r="47" customFormat="false" ht="21.75" hidden="false" customHeight="true" outlineLevel="0" collapsed="false">
      <c r="B47" s="39" t="s">
        <v>573</v>
      </c>
      <c r="C47" s="39"/>
      <c r="D47" s="39"/>
      <c r="E47" s="39"/>
      <c r="F47" s="39"/>
      <c r="G47" s="39"/>
      <c r="H47" s="10" t="str">
        <f aca="false">IF(H41&lt;0,"OVER BUDGET","OK")</f>
        <v>OK</v>
      </c>
    </row>
  </sheetData>
  <mergeCells count="21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2:H22"/>
    <mergeCell ref="D24:H24"/>
    <mergeCell ref="B31:G31"/>
    <mergeCell ref="B33:H33"/>
    <mergeCell ref="D35:H35"/>
    <mergeCell ref="B42:G42"/>
    <mergeCell ref="B44:G44"/>
    <mergeCell ref="B45:G45"/>
    <mergeCell ref="B46:G46"/>
    <mergeCell ref="B47:G47"/>
  </mergeCells>
  <conditionalFormatting sqref="H4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2026-09-08T08:32:32Z</dcterms:created>
  <dc:creator>Z.ai</dc:creator>
  <dc:description/>
  <dc:language>en-US</dc:language>
  <cp:lastModifiedBy/>
  <dcterms:modified xsi:type="dcterms:W3CDTF">2026-09-09T15:27:53Z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
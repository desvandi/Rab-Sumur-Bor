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Work Schedule" sheetId="2" state="visible" r:id="rId4"/>
    <sheet name="Master of Price" sheetId="3" state="visible" r:id="rId5"/>
    <sheet name="Rincian Harga" sheetId="4" state="visible" r:id="rId6"/>
    <sheet name="Referensi Harga" sheetId="5" state="visible" r:id="rId7"/>
    <sheet name="L01_Lestari" sheetId="6" state="visible" r:id="rId8"/>
    <sheet name="L02_TriMakmur" sheetId="7" state="visible" r:id="rId9"/>
    <sheet name="L03_Sepakat" sheetId="8" state="visible" r:id="rId10"/>
    <sheet name="L04_HarapanMakmur" sheetId="9" state="visible" r:id="rId11"/>
    <sheet name="L05a_DianBelato" sheetId="10" state="visible" r:id="rId12"/>
    <sheet name="L05b_DianBelato" sheetId="11" state="visible" r:id="rId13"/>
    <sheet name="L06_PayoLebar" sheetId="12" state="visible" r:id="rId14"/>
    <sheet name="L07_PudingMas" sheetId="13" state="visible" r:id="rId15"/>
    <sheet name="L08a_TanjungAur" sheetId="14" state="visible" r:id="rId16"/>
    <sheet name="L08b_TanjungAur" sheetId="15" state="visible" r:id="rId17"/>
    <sheet name="L08c_TanjungAur" sheetId="16" state="visible" r:id="rId18"/>
    <sheet name="L09_BerkatMul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<sst xmlns="http://schemas.openxmlformats.org/spreadsheetml/2006/main" count="2567" uniqueCount="950">
  <si>
    <t xml:space="preserve">RINGKASAN RAB - 12 PEKERJAAN DI 9 LOKASI</t>
  </si>
  <si>
    <t xml:space="preserve">Pekerjaan Utama</t>
  </si>
  <si>
    <t xml:space="preserve">Pembuatan Sumur Bor + Pompa (Solar Batteryless/Diesel/Submersible) + Panel Surya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</si>
  <si>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</si>
  <si>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</si>
  <si>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</si>
  <si>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2024-2025); referensi harga pasar &amp; link: sheet 'Referensi Harga'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</si>
  <si>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</si>
  <si>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</si>
  <si>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</si>
  <si>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</si>
  <si>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</si>
  <si>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</si>
  <si>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</si>
  <si>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</si>
  <si>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</si>
  <si>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</si>
  <si>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</si>
  <si>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</si>
  <si>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</si>
  <si>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Pengeboran Sumur (Rp)</t>
  </si>
  <si>
    <t xml:space="preserve">Pengecoran Struktur Beton (Rp)</t>
  </si>
  <si>
    <t xml:space="preserve">Rangka Panel (Rp)</t>
  </si>
  <si>
    <t xml:space="preserve">Solar Pump (Rp)</t>
  </si>
  <si>
    <t xml:space="preserve">Diesel/PLN Pump (Rp)</t>
  </si>
  <si>
    <t xml:space="preserve">Total (Rp)</t>
  </si>
  <si>
    <t xml:space="preserve">Anggaran Maks (Rp)</t>
  </si>
  <si>
    <t xml:space="preserve">Overhead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</si>
  <si>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</si>
  <si>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</si>
  <si>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</si>
  <si>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</si>
  <si>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</si>
  <si>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</si>
  <si>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Solar Batteryless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</si>
  <si>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</si>
  <si>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</si>
  <si>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</si>
  <si>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</si>
  <si>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</si>
  <si>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</si>
  <si>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</si>
  <si>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</si>
  <si>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</si>
  <si>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</si>
  <si>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</si>
  <si>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</si>
  <si>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</si>
  <si>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</si>
  <si>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</si>
  <si>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</si>
  <si>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</si>
  <si>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</si>
  <si>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</si>
  <si>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</si>
  <si>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</si>
  <si>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</si>
  <si>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</si>
  <si>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</si>
  <si>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Bak penampung air TIDAK dikerjakan (item ITM-16 dikeluarkan dari RAB).</t>
  </si>
  <si>
    <t xml:space="preserve">3. Lokasi 3: Pompa Submersible 4" 5,5 HP + Instalasi PLN/Genset, TIDAK pakai panel surya, hanya cor penutup sumur 1x1x0,1 m.</t>
  </si>
  <si>
    <t xml:space="preserve">4. Lokasi 2,4,5,7,8,9: Pompa Submersible Tenaga Surya (Solar Pump Batteryless) 2 HP (1.492 W), casing 4 inch, outlet 2 inch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</si>
  <si>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</si>
  <si>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</si>
  <si>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</si>
  <si>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</si>
  <si>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— bak penampung air TIDAK dikerjakan.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</si>
  <si>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</si>
  <si>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</si>
  <si>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</si>
  <si>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155.684.461 total 2 paket -&gt; Rp 77.842.230 per paket (total RAB Rp 155.684.460 — selisih Rp 1 pembulatan per paket).</t>
  </si>
  <si>
    <t xml:space="preserve">14. Anggaran Lokasi 8 (Tanjung Aur Indah) = Rp 232.846.269,75 total 3 paket -&gt; Rp 77.615.423,25 per paket.</t>
  </si>
  <si>
    <t xml:space="preserve">15. Lokasi 1 &amp; 6 tidak menyebut kedalaman sumur -&gt; asumsi 40 m (standar DAK Pertanian).</t>
  </si>
  <si>
    <t xml:space="preserve">16. Setiap sheet detail berisi 5 kelompok pekerjaan sesuai tipe lokasi (Kelompok 1 Pengeboran Sumur / 2 Pengecoran Struktur Beton / 3 Rangka Panel Galvanis-Hollow / 4 Solar Pump Submersible / 5 Diesel-PLN Pump Submersible). Lokasi solar (L2, L4, L5, L7, L8, L9): kelompok 1-4; lokasi diesel/PLN (L1, L3, L6): kelompok 1, 2, dan 5.</t>
  </si>
  <si>
    <t xml:space="preserve">17. OVERHEAD: dihitung otomatis per lokasi = 'Anggaran Maks' (kolom L sheet ini) - jumlah Sub-Total seluruh kelompok pekerjaan (tanpa overhead), ditampilkan di kolom M 'Overhead (Rp)'.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</si>
  <si>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kolom Overhead (M) yang negatif (detail komponen harga lihat sheet 'Rincian Harga').</t>
  </si>
  <si>
    <t xml:space="preserve">19. Referensi harga pasar tiap item (link marketplace, distributor, artikel, regulasi HSPK Kab. Tebo) terdokumentasi di sheet 'Referensi Harga' (riset web 10 September 2026; band REFERENSI ONGKIR riset 11 September 2026). Harga komponen yang berreferensi kunci SUDAH DITERAPKAN ke sheet 'Rincian Harga' (revisi v5) — lihat catatan berlabel 'SUDAH DITERAPKAN (v5)'.</t>
  </si>
  <si>
    <t xml:space="preserve">20. Jadwal pelaksanaan (Gantt) 12 pekerjaan: sheet 'Work Schedule' — 3 fase per lokasi (pengeboran 2 hari, pengecoran beton &amp; rangka panel 4 hari, pemasangan pompa 2 hari); sumber: Schedule_12_Pekerjaan_9_Lokasi_Sumur_Bor.pdf (lampiran).</t>
  </si>
  <si>
    <t xml:space="preserve">21. Revisi v5 (11 September 2026): (a) SOLAR PUMP BATTERYLESS — komponen baterai Rp 5 jt dihapus dari paket pompa surya (ITM-19 kini Rp 19 jt/unit, tanpa baterai); (b) harga komponen diperbarui mengikuti referensi pasar: pipa PVC AW 6" (Rp 82rb menjadi Rp 196,7rb/m'), pipa PVC AW 2" (Rp 20rb menjadi Rp 22,75rb/m'), mesin diesel JD330 (Rp 10 jt menjadi Rp 22,4 jt), panel 550 Wp SNI (Rp 1,6 jt menjadi Rp 2,648 jt), pompa submersible 4" 5,5 HP (Rp 5 jt menjadi Rp 6,1 jt), kabel NYM 2×4 SNI (Rp 0,4 jt menjadi Rp 1,26 jt). Overhead tiap lokasi otomatis menyesuaikan (kolom M) — 5 lokasi menjadi OVER BUDGET: L01, L02, L03, L06, L09.</t>
  </si>
  <si>
    <t xml:space="preserve">22. Revisi v6 (11 September 2026): (a) ANGGARAN MAKS Lokasi 5 (Dian Belato) 2 paket total Rp 155.684.461 (Rp 77.842.230/paket) &amp; Lokasi 8 (Tanjung Aur Indah) 3 paket total Rp 232.846.269,75 (Rp 77.615.423,25/paket); (b) ONGKIR REALISTIS — transport panel 550 Wp (ITM-21.4) Rp 150rb menjadi Rp 400rb/unit, transport mesin JD330 (ITM-17.4) Rp 700rb menjadi Rp 2 jt/unit, transport pompa submersible 4" (ITM-24.4) Rp 300rb menjadi Rp 700rb/unit — dasar tarif cargo darat Tangerang/Jakarta → Muara Tebo Rp 5.000–7.500/kg (RIS Kargo / SNG Logistic / Insan Cargo; band REFERENSI ONGKIR sheet Referensi Harga); (c) harga riil ditampilkan apa adanya — overhead dibiarkan minus bila anggaran kurang: 8 pekerjaan OVER (L01, L02, L03, L06, L08a, L08b, L08c, L09), 4 OK (L04, L05a, L05b, L07). Estimasi lanjutan dilakukan manual oleh pemberi kerja.</t>
  </si>
  <si>
    <t xml:space="preserve">23. Revisi v7 (11 September 2026): spesifikasi final pompa surya seluruh lokasi solar = 2 HP, casing 4 inch, outlet 2 inch (ITM-19.1 semula "bodi 3 inch" dikoreksi). Referensi pompa 4" 2 HP stainless diperbarui: merek lokal Rp 3,2–4,9 jt | BIT SS428K + kabel 50 m Rp 7,6 jt | premium Shimizu SS-428K BIT Rp 8,9–11,9 jt. Harga RAB ITM-19.1 Rp 6.500.000/unit (pump-only, kelas menengah BIT tanpa kabel) DIPERTAHANKAN — realistis di tengah band pasar. Outlet 2" sesuai pipa PVC AW Ø 2" (ITM-03); casing pompa 4" masuk dalam casing sumur Ø 6" (ITM-02).</t>
  </si>
  <si>
    <t xml:space="preserve">WORK SCHEDULE | Jadwal Pelaksanaan 12 Pekerjaan di 9 Lokasi</t>
  </si>
  <si>
    <t xml:space="preserve">Fungsi</t>
  </si>
  <si>
    <t xml:space="preserve">Jadwal pelaksanaan (Gantt chart) 12 pekerjaan sumur bor — 3 fase per lokasi.</t>
  </si>
  <si>
    <t xml:space="preserve">Cara Pakai</t>
  </si>
  <si>
    <t xml:space="preserve">Baca sel berwarna per baris fase: kuning = pengeboran, hijau = pengecoran beton &amp; rangka panel, biru = pompa diesel/PLN, cyan = pompa solar. Kolom Mulai/Selesai/Durasi memakai hitungan "hari ke".</t>
  </si>
  <si>
    <t xml:space="preserve">Sumber</t>
  </si>
  <si>
    <t xml:space="preserve">Schedule_12_Pekerjaan_9_Lokasi_Sumur_Bor.pdf (lampiran user) — direplikasi setia.</t>
  </si>
  <si>
    <t xml:space="preserve">Skala Waktu</t>
  </si>
  <si>
    <t xml:space="preserve">Hari ke-1 = tanggal 13 Bulan-1; horizon 56 hari (13/B1 s/d 07/B3); seluruh pekerjaan selesai hari ke-52.</t>
  </si>
  <si>
    <t xml:space="preserve">Pola Pelaksanaan</t>
  </si>
  <si>
    <t xml:space="preserve">Pengeboran mulai tiap 2 hari per lokasi (hari 1-24); pengecoran tiap 4 hari (hari 3-50); pemasangan pompa mulai hari ke-29 tiap 2 hari (hari 29-52).</t>
  </si>
  <si>
    <t xml:space="preserve">Catatan</t>
  </si>
  <si>
    <t xml:space="preserve">Tiap lokasi 8 hari kerja efektif (2 + 4 + 2). Bulan kalender tidak dispesifikkan di lampiran (diberi label Bulan 1/2/3).</t>
  </si>
  <si>
    <t xml:space="preserve">JADWAL PELAKSANAAN (GANTT) — 12 PEKERJAAN (URUTAN PELAKSANAAN)</t>
  </si>
  <si>
    <t xml:space="preserve">PAKET / FASE ↓  HARI →</t>
  </si>
  <si>
    <t xml:space="preserve">BULAN 1 — TGL 13 s/d 30</t>
  </si>
  <si>
    <t xml:space="preserve">BULAN 2 — TGL 01 s/d 31</t>
  </si>
  <si>
    <t xml:space="preserve">BULAN 3 — TGL 01 s/d 07</t>
  </si>
  <si>
    <t xml:space="preserve">RINGKASAN FASE (hari ke)</t>
  </si>
  <si>
    <t xml:space="preserve">Paket Pekerjaan (urutan pelaksanaan)</t>
  </si>
  <si>
    <t xml:space="preserve">Fase / Kelompok Pekerjaan</t>
  </si>
  <si>
    <t xml:space="preserve">Mulai</t>
  </si>
  <si>
    <t xml:space="preserve">Selesai</t>
  </si>
  <si>
    <t xml:space="preserve">Durasi (hr)</t>
  </si>
  <si>
    <t xml:space="preserve">Poktan Lestari (L01)</t>
  </si>
  <si>
    <t xml:space="preserve">Pengeboran Sumur</t>
  </si>
  <si>
    <t xml:space="preserve">Pengecoran Beton &amp; Rangka Panel</t>
  </si>
  <si>
    <t xml:space="preserve">Pompa Diesel/PLN</t>
  </si>
  <si>
    <t xml:space="preserve">Poktan Sepakat (L03)</t>
  </si>
  <si>
    <t xml:space="preserve">Poktan Payo Lebar (L06)</t>
  </si>
  <si>
    <t xml:space="preserve">Poktan Tri Makmur (L02)</t>
  </si>
  <si>
    <t xml:space="preserve">Pompa Solar</t>
  </si>
  <si>
    <t xml:space="preserve">Poktan Harapan Makmur (L04)</t>
  </si>
  <si>
    <t xml:space="preserve">Poktan Dian Belato — Paket 1 (L05a)</t>
  </si>
  <si>
    <t xml:space="preserve">Poktan Dian Belato — Paket 2 (L05b)</t>
  </si>
  <si>
    <t xml:space="preserve">Poktan Puding Mas (L07)</t>
  </si>
  <si>
    <t xml:space="preserve">Poktan Tanjung Aur Indah — Paket 1 (L08a)</t>
  </si>
  <si>
    <t xml:space="preserve">Poktan Tanjung Aur Indah — Paket 2 (L08b)</t>
  </si>
  <si>
    <t xml:space="preserve">Poktan Tanjung Aur Indah — Paket 3 (L08c)</t>
  </si>
  <si>
    <t xml:space="preserve">Poktan Berkat Mulia (L09)</t>
  </si>
  <si>
    <t xml:space="preserve">LEGENDA WARNA &amp; CATATAN</t>
  </si>
  <si>
    <t xml:space="preserve">Kuning — Pengeboran Sumur (Kelompok 1): 2 hari per lokasi.</t>
  </si>
  <si>
    <t xml:space="preserve">Hijau — Pengecoran Struktur Beton &amp; Rangka Panel (Kelompok 2 &amp; 3): 4 hari per lokasi.</t>
  </si>
  <si>
    <t xml:space="preserve">Biru — Diesel/PLN Pump Submersible (Kelompok 5): 2 hari per lokasi (L01, L03, L06).</t>
  </si>
  <si>
    <t xml:space="preserve">Cyan — Solar Pump Submersible (Kelompok 4): 2 hari per lokasi (9 lokasi lainnya).</t>
  </si>
  <si>
    <t xml:space="preserve">1. Sumber jadwal: Schedule_12_Pekerjaan_9_Lokasi_Sumur_Bor.pdf (lampiran user) — durasi, urutan, dan pola pergantian lokasi direplikasi apa adanya dari lampiran.</t>
  </si>
  <si>
    <t xml:space="preserve">2. Hari ke-1 = tanggal 13 Bulan-1; horizon 56 hari (tgl 13 B1 s/d tgl 07 B3); seluruh pekerjaan selesai hari ke-52 (tgl 03 Bulan-3).</t>
  </si>
  <si>
    <t xml:space="preserve">3. Pola pelaksanaan berjenjang: krew pengeboran pindah lokasi tiap 2 hari (hari 1-24), krew pengecoran tiap 4 hari (hari 3-50), krew pompa mulai hari ke-29 tiap 2 hari (hari 29-52).</t>
  </si>
  <si>
    <t xml:space="preserve">4. Fase pengecoran (hijau) mencakup Kelompok 2 (Pengecoran Struktur Beton) + Kelompok 3 (Rangka Panel Galvanis/Hollow — Ground Mounting); fase pompa terpisah warna sesuai tipe (solar vs diesel/PLN).</t>
  </si>
  <si>
    <t xml:space="preserve">5. Jumlah hari kerja efektif per lokasi = 8 hari (2 pengeboran + 4 pengecoran + 2 pompa); jeda antar fase per lokasi mengikuti pola lampiran.</t>
  </si>
  <si>
    <t xml:space="preserve">Master of Price | Daftar Harga Satuan Seluruh Item Proyek</t>
  </si>
  <si>
    <t xml:space="preserve">Sumber tunggal harga satuan seluruh item proyek (single source of truth).</t>
  </si>
  <si>
    <t xml:space="preserve">Ubah harga komponen pada sheet 'Rincian Harga' (kolom F — Harga) — subtotal item di sheet ini, seluruh sheet lokasi (L01-L09), dan RINGKASAN otomatis ikut berubah. Kolom Harga Satuan di sheet ini berisi formula link ke subtotal item di sheet 'Rincian Harga'. Revisi v5: komponen kunci mengikuti harga referensi pasar (pipa PVC, mesin JD330, panel SNI, pompa, kabel NYM); sistem solar pump BATTERYLESS — tanpa baterai.</t>
  </si>
  <si>
    <t xml:space="preserve">Sumber Harga</t>
  </si>
  <si>
    <t xml:space="preserve">HSP Kab. Tebo / DPU Jambi (estimasi 2024-2025), all-in; referensi harga pasar &amp; link: sheet 'Referensi Harga'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</si>
  <si>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</si>
  <si>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</si>
  <si>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</si>
  <si>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</si>
  <si>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</si>
  <si>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</si>
  <si>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</si>
  <si>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</si>
  <si>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</si>
  <si>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Pengeboran Sumur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</si>
  <si>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</si>
  <si>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</si>
  <si>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</si>
  <si>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</si>
  <si>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</si>
  <si>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</si>
  <si>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</si>
  <si>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</si>
  <si>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</si>
  <si>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</si>
  <si>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</si>
  <si>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</si>
  <si>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</si>
  <si>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</si>
  <si>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</si>
  <si>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</si>
  <si>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</si>
  <si>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</si>
  <si>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</si>
  <si>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Struktur Beton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</si>
  <si>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</si>
  <si>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</si>
  <si>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</si>
  <si>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</si>
  <si>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</si>
  <si>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</si>
  <si>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</si>
  <si>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</si>
  <si>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</si>
  <si>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</si>
  <si>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</si>
  <si>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</si>
  <si>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ITM-22</t>
  </si>
  <si>
    <t xml:space="preserve">Rangka Panel Galvanis/Hollow (Ground Mounting)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</si>
  <si>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</si>
  <si>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</si>
  <si>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ITM-19</t>
  </si>
  <si>
    <t xml:space="preserve">Solar Pump Submersible</t>
  </si>
  <si>
    <t xml:space="preserve">Pompa Submersible Tenaga Surya 2 HP (± 1.492 W), casing 4 inch, outlet 2 inch — Sistem BATTERYLESS, tanpa baterai (paket lengkap: pompa + inverter MPPT + panel kontrol + kabel pacu 45 m + stopper &amp; bracket)</t>
  </si>
  <si>
    <t xml:space="preserve">Unit</t>
  </si>
  <si>
    <t xml:space="preserve">ITM-20</t>
  </si>
  <si>
    <t xml:space="preserve">Pemasangan &amp; instalasi pompa submersible dalam sumur bor</t>
  </si>
  <si>
    <t xml:space="preserve">Lump Sum</t>
  </si>
  <si>
    <t xml:space="preserve">ITM-21</t>
  </si>
  <si>
    <t xml:space="preserve">Panel Surya Monokristalin 550 Wp SNI (5 unit sesuai spesifikasi RAB pemberi kerja)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</si>
  <si>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</si>
  <si>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</si>
  <si>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ITM-17</t>
  </si>
  <si>
    <t xml:space="preserve">Diesel / PLN Pump Submersible</t>
  </si>
  <si>
    <t xml:space="preserve">Pompa Diesel JD 330 — 35 HP, 4 langkah 1 silinder, intake/out 3 inch (paket lengkap: mesin + bracket + aksesoris)</t>
  </si>
  <si>
    <t xml:space="preserve">ITM-18</t>
  </si>
  <si>
    <t xml:space="preserve">Instalasi sistem pompa diesel + commissioning (termasuk coupling, pipa hisap/keluar, &amp; pengujian)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</si>
  <si>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</si>
  <si>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</si>
  <si>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</si>
  <si>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</si>
  <si>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</si>
  <si>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</si>
  <si>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</si>
  <si>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25 item di sheet Master of Price (ITM-01 s/d ITM-26, TANPA ITM-16 — bak penampung air tidak dikerjakan). Revisi v5: komponen kunci sudah mengikuti harga referensi pasar (sheet 'Referensi Harga'). Revisi v6: komponen transport (ongkir) mengikuti tarif cargo darat Tangerang/Jakarta → Tebo — band REFERENSI ONGKIR sheet Referensi Harga.</t>
  </si>
  <si>
    <t xml:space="preserve">Ubah harga komponen pada kolom F 'Harga (Rp)' — subtotal per item, harga satuan di Master of Price, seluruh sheet lokasi (L01-L09), dan RINGKASAN otomatis ikut berubah. Komponen berlabel '(v5)' pada kolom Keterangan Basis = harga mengikuti referensi pasar. Kolom G 'Harga Pasar Temuan' = live-link ke sheet 'Referensi Harga' (klik sel untuk membuka link sumbernya); kolom H = catatan pembandingnya.</t>
  </si>
  <si>
    <t xml:space="preserve">HSP Kab. Tebo / DPU Jambi (estimasi 2024-2025), all-in; komponen kunci = harga pasar terverifikasi (sheet 'Referensi Harga', riset 10 Sep 2026); ongkir cargo = tarif ekspedisi terverifikasi (band ONGKIR, riset 11 Sep 2026); komponen lain = estimasi alokasi harga pasar Jambi/Tebo 2024-2025.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</si>
  <si>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</si>
  <si>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</si>
  <si>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</si>
  <si>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L) - Sub Total pekerjaan; jika negatif maka status pekerjaan = OVER BUDGET.</t>
  </si>
  <si>
    <t xml:space="preserve">DAFTAR RINCIAN HARGA SATUAN PER ITEM (25 ITEM: ITM-01 s/d ITM-26, TANPA ITM-16)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</si>
  <si>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</si>
  <si>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</si>
  <si>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</si>
  <si>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</si>
  <si>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Harga Pasar Temuan</t>
  </si>
  <si>
    <t xml:space="preserve">Catatan Referensi</t>
  </si>
  <si>
    <t xml:space="preserve">Kelompok 1: PEKERJAAN PENGEORAN SUMUR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</si>
  <si>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</si>
  <si>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</si>
  <si>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</si>
  <si>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</si>
  <si>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</si>
  <si>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</si>
  <si>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</si>
  <si>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</si>
  <si>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</si>
  <si>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</si>
  <si>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</si>
  <si>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</si>
  <si>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</si>
  <si>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</si>
  <si>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</si>
  <si>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</si>
  <si>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</si>
  <si>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</si>
  <si>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</si>
  <si>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</si>
  <si>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</si>
  <si>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</si>
  <si>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</si>
  <si>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</t>
  </si>
  <si>
    <t xml:space="preserve">ITM-02.1</t>
  </si>
  <si>
    <t xml:space="preserve">Material pipa PVC AW Ø 6 inch (casing)</t>
  </si>
  <si>
    <t xml:space="preserve">Rucika AW 6" Rp 786.671/batang 4 m = ± Rp 196.700/m' — ref. Juragan Material (v5)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</si>
  <si>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</si>
  <si>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</si>
  <si>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</si>
  <si>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</si>
  <si>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</si>
  <si>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</si>
  <si>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</si>
  <si>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</si>
  <si>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</si>
  <si>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</si>
  <si>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</si>
  <si>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0,9% dari harga satuan</t>
  </si>
  <si>
    <t xml:space="preserve">JUMLAH HARGA SATUAN — ITM-02 (per m')</t>
  </si>
  <si>
    <t xml:space="preserve">Link ke 'Master of Price'!G13</t>
  </si>
  <si>
    <t xml:space="preserve">ITM-03.1</t>
  </si>
  <si>
    <t xml:space="preserve">Material pipa PVC AW Ø 2 inch (outlet)</t>
  </si>
  <si>
    <t xml:space="preserve">Eceran terendah Rp 91.000/batang 4 m = ± Rp 22.750/m' — ref. Shopee (v5)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</si>
  <si>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</si>
  <si>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</si>
  <si>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</si>
  <si>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</si>
  <si>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</si>
  <si>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</si>
  <si>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</si>
  <si>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3,3% dari harga satuan</t>
  </si>
  <si>
    <t xml:space="preserve">JUMLAH HARGA SATUAN — ITM-03 (per m')</t>
  </si>
  <si>
    <t xml:space="preserve">Link ke 'Master of Price'!G14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</si>
  <si>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</si>
  <si>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</si>
  <si>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</si>
  <si>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</si>
  <si>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</si>
  <si>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</si>
  <si>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</si>
  <si>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</si>
  <si>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</si>
  <si>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</si>
  <si>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</si>
  <si>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</si>
  <si>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</si>
  <si>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</si>
  <si>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</si>
  <si>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</si>
  <si>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</si>
  <si>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</si>
  <si>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</si>
  <si>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</si>
  <si>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</si>
  <si>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</si>
  <si>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</si>
  <si>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</si>
  <si>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</si>
  <si>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</si>
  <si>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</si>
  <si>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</si>
  <si>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</si>
  <si>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</si>
  <si>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</si>
  <si>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</si>
  <si>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</si>
  <si>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</si>
  <si>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</si>
  <si>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</si>
  <si>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</si>
  <si>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</si>
  <si>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</si>
  <si>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</si>
  <si>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</si>
  <si>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</si>
  <si>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</si>
  <si>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</si>
  <si>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</si>
  <si>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</si>
  <si>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</si>
  <si>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</si>
  <si>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</si>
  <si>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</si>
  <si>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</si>
  <si>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</si>
  <si>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</si>
  <si>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</si>
  <si>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</si>
  <si>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</si>
  <si>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</si>
  <si>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</si>
  <si>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</si>
  <si>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</si>
  <si>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</si>
  <si>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</si>
  <si>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</si>
  <si>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</si>
  <si>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</si>
  <si>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</t>
  </si>
  <si>
    <t xml:space="preserve">Kelompok 2: PEKERJAAN PENGECORAN STRUKTUR BETON (ITM-10 s/d ITM-15)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</si>
  <si>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</si>
  <si>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</si>
  <si>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</si>
  <si>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</si>
  <si>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</si>
  <si>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</si>
  <si>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250.000/m³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</si>
  <si>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</si>
  <si>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</si>
  <si>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</si>
  <si>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</si>
  <si>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</si>
  <si>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</si>
  <si>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</si>
  <si>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</si>
  <si>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Upah lokal Tebo,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</si>
  <si>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</si>
  <si>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</si>
  <si>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</si>
  <si>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</t>
  </si>
  <si>
    <t xml:space="preserve">ITM-11.1</t>
  </si>
  <si>
    <t xml:space="preserve">Upah galian tanah biasa</t>
  </si>
  <si>
    <t xml:space="preserve">Upah lokal ± Rp 40.000/m³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</si>
  <si>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</si>
  <si>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</si>
  <si>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</si>
  <si>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</si>
  <si>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5,3% dari harga satuan</t>
  </si>
  <si>
    <t xml:space="preserve">JUMLAH HARGA SATUAN — ITM-11 (per m³)</t>
  </si>
  <si>
    <t xml:space="preserve">Link ke 'Master of Price'!G22</t>
  </si>
  <si>
    <t xml:space="preserve">ITM-12.1</t>
  </si>
  <si>
    <t xml:space="preserve">Material pasir urug</t>
  </si>
  <si>
    <t xml:space="preserve">Harga pasir lokal ± Rp 60.000/m³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</si>
  <si>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</si>
  <si>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</si>
  <si>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</si>
  <si>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</si>
  <si>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</si>
  <si>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</t>
  </si>
  <si>
    <t xml:space="preserve">ITM-13.1</t>
  </si>
  <si>
    <t xml:space="preserve">Material batu kosong/belah</t>
  </si>
  <si>
    <t xml:space="preserve">Harga lokal ± Rp 95.000/m³</t>
  </si>
  <si>
    <t xml:space="preserve">ITM-13.2</t>
  </si>
  <si>
    <t xml:space="preserve">Upah urug/susun batu kosong</t>
  </si>
  <si>
    <t xml:space="preserve">ITM-13.3</t>
  </si>
  <si>
    <t xml:space="preserve">± 7,7% dari harga satuan</t>
  </si>
  <si>
    <t xml:space="preserve">JUMLAH HARGA SATUAN — ITM-13 (per m³)</t>
  </si>
  <si>
    <t xml:space="preserve">Link ke 'Master of Price'!G24</t>
  </si>
  <si>
    <t xml:space="preserve">ITM-14.1</t>
  </si>
  <si>
    <t xml:space="preserve">Batu kali</t>
  </si>
  <si>
    <t xml:space="preserve">Koef. ± 1,1 m³ × Rp 150.000/m³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</si>
  <si>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</si>
  <si>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</si>
  <si>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</si>
  <si>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</si>
  <si>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250.000/m³</t>
  </si>
  <si>
    <t xml:space="preserve">ITM-14.4</t>
  </si>
  <si>
    <t xml:space="preserve">Upah pasang pondasi batu kali menerus</t>
  </si>
  <si>
    <t xml:space="preserve">ITM-14.5</t>
  </si>
  <si>
    <t xml:space="preserve">± 8,2% dari harga satuan</t>
  </si>
  <si>
    <t xml:space="preserve">JUMLAH HARGA SATUAN — ITM-14 (per m³)</t>
  </si>
  <si>
    <t xml:space="preserve">Link ke 'Master of Price'!G25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</si>
  <si>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</si>
  <si>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</si>
  <si>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</si>
  <si>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</si>
  <si>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</si>
  <si>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</si>
  <si>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</si>
  <si>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</si>
  <si>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</si>
  <si>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3,7% dari harga satuan</t>
  </si>
  <si>
    <t xml:space="preserve">JUMLAH HARGA SATUAN — ITM-15 (per m³)</t>
  </si>
  <si>
    <t xml:space="preserve">Link ke 'Master of Price'!G26</t>
  </si>
  <si>
    <t xml:space="preserve">Kelompok 3: RANGKA PANEL GALVANIS/HOLLOW (GROUND MOUNTING) (ITM-22)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</si>
  <si>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</si>
  <si>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</si>
  <si>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</si>
  <si>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</si>
  <si>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</si>
  <si>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</si>
  <si>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</si>
  <si>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</si>
  <si>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</si>
  <si>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</si>
  <si>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</si>
  <si>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</si>
  <si>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</si>
  <si>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</si>
  <si>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</si>
  <si>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</si>
  <si>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</si>
  <si>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</si>
  <si>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</si>
  <si>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</si>
  <si>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</si>
  <si>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</si>
  <si>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Price'!G27</t>
  </si>
  <si>
    <t xml:space="preserve">Kelompok 4: SOLAR PUMP SUBMERSIBLE — BATTERYLESS (ITM-19 s/d ITM-21, ITM-23)</t>
  </si>
  <si>
    <t xml:space="preserve">Satuan: Unit</t>
  </si>
  <si>
    <t xml:space="preserve">ITM-19.1</t>
  </si>
  <si>
    <t xml:space="preserve">Pompa submersible 2 HP (± 1.492 W), casing/bodi stainless 4 inch, outlet 2 inch, head ± 45 m</t>
  </si>
  <si>
    <t xml:space="preserve">Harga pasar pompa 4" 2 HP stainless — kelas menengah (BIT SS428K pump-only), riset 11 Sep 2026: lokal Rp 3,2–4,9 jt | BIT + kabel 50 m Rp 7,6 jt | Shimizu Rp 8,9–11,9 jt</t>
  </si>
  <si>
    <t xml:space="preserve">ITM-19.2</t>
  </si>
  <si>
    <t xml:space="preserve">Inverter built-in MPPT ± 2,2 kW (solar pump VFD controller)</t>
  </si>
  <si>
    <t xml:space="preserve">Harga pasar inverter MPPT — inti sistem batteryless (pompa direct dari PV)</t>
  </si>
  <si>
    <t xml:space="preserve">ITM-19.3</t>
  </si>
  <si>
    <t xml:space="preserve">Panel kontrol (kontrol otomatis, sensor level, proteksi overload/surge)</t>
  </si>
  <si>
    <t xml:space="preserve">Estimasi pasar</t>
  </si>
  <si>
    <t xml:space="preserve">ITM-19.4</t>
  </si>
  <si>
    <t xml:space="preserve">Kabel pacu 45 m (kabel submersible 3 × 2,5 mm²)</t>
  </si>
  <si>
    <t xml:space="preserve">± Rp 33.000/m × 45 m</t>
  </si>
  <si>
    <t xml:space="preserve">ITM-19.5</t>
  </si>
  <si>
    <t xml:space="preserve">Stopper &amp; bracket (klem pipa, tali stainless, safety clamp)</t>
  </si>
  <si>
    <t xml:space="preserve">ITM-19.6</t>
  </si>
  <si>
    <t xml:space="preserve">Transport, assembling &amp; testing paket</t>
  </si>
  <si>
    <t xml:space="preserve">Paket ± 80 kg × ongkir cargo Tangerang → Tebo Rp 5.000–7.500/kg (Rp 400–600rb) + packing &amp; asuransi (min Rp 125rb/kiriman) + assembling &amp; testing paket</t>
  </si>
  <si>
    <t xml:space="preserve">ITM-19.7</t>
  </si>
  <si>
    <t xml:space="preserve">± 7,9% dari harga satuan</t>
  </si>
  <si>
    <t xml:space="preserve">JUMLAH HARGA SATUAN — ITM-19 (per Unit)</t>
  </si>
  <si>
    <t xml:space="preserve">Link ke 'Master of Price'!G28</t>
  </si>
  <si>
    <t xml:space="preserve">Satuan: Lump Sum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</si>
  <si>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</si>
  <si>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</si>
  <si>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</si>
  <si>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</si>
  <si>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</si>
  <si>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</si>
  <si>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</si>
  <si>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</si>
  <si>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</si>
  <si>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</si>
  <si>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</si>
  <si>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</si>
  <si>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</si>
  <si>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</si>
  <si>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Price'!G29</t>
  </si>
  <si>
    <t xml:space="preserve">ITM-21.1</t>
  </si>
  <si>
    <t xml:space="preserve">Modul PV monokristalin 550 Wp SNI</t>
  </si>
  <si>
    <t xml:space="preserve">Solana 550 Wp mono SNI Rp 2.648.000 (Shopee gudangpanelsurya) — garansi performansi 25 th (v5)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</si>
  <si>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</si>
  <si>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</si>
  <si>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</si>
  <si>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</si>
  <si>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</si>
  <si>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</si>
  <si>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</si>
  <si>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Transport &amp; handling (ongkir cargo Tangerang → Tebo, door-to-door)</t>
  </si>
  <si>
    <t xml:space="preserve">Panel ± 30 kg, 2,27 × 1,13 m (koli panjang): ongkir realistis Rp 250–500rb/unit — batch 5 panel/paket + packing kayu + asuransi + handling (band ONGKIR Referensi Harga)</t>
  </si>
  <si>
    <t xml:space="preserve">ITM-21.5</t>
  </si>
  <si>
    <t xml:space="preserve">± 5,0% dari harga satuan</t>
  </si>
  <si>
    <t xml:space="preserve">JUMLAH HARGA SATUAN — ITM-21 (per Unit)</t>
  </si>
  <si>
    <t xml:space="preserve">Link ke 'Master of Price'!G30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</si>
  <si>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</si>
  <si>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</si>
  <si>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</si>
  <si>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</si>
  <si>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</si>
  <si>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</si>
  <si>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</si>
  <si>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</si>
  <si>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</si>
  <si>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</si>
  <si>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</si>
  <si>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Pengujian sistem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</si>
  <si>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</si>
  <si>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</si>
  <si>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</si>
  <si>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</si>
  <si>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</si>
  <si>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</si>
  <si>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Price'!G31</t>
  </si>
  <si>
    <t xml:space="preserve">Kelompok 5: DIESEL / PLN PUMP SUBMERSIBLE (ITM-17 s/d ITM-18, ITM-24 s/d ITM-26)</t>
  </si>
  <si>
    <t xml:space="preserve">ITM-17.1</t>
  </si>
  <si>
    <t xml:space="preserve">Mesin pompa diesel JD 330 — 35 HP, 4 langkah 1 silinder, intake/out 3 inch</t>
  </si>
  <si>
    <t xml:space="preserve">Harga pasar terendah mesin JD330: Rp 22.400.000 (Lazada) — ref. v5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</si>
  <si>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</si>
  <si>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</si>
  <si>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</si>
  <si>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</si>
  <si>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</si>
  <si>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</si>
  <si>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</si>
  <si>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</si>
  <si>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Mesin ± 270–300 kg + packing kayu × Rp 5.000–7.500/kg = Rp 1,5–2,25 jt + bongkar-muat mesin berat &amp; antar ke lokasi — pembanding SNG: pompa 450 kg @ Rp 4.500/kg</t>
  </si>
  <si>
    <t xml:space="preserve">ITM-17.5</t>
  </si>
  <si>
    <t xml:space="preserve">± 3,1% dari harga satuan</t>
  </si>
  <si>
    <t xml:space="preserve">JUMLAH HARGA SATUAN — ITM-17 (per Unit)</t>
  </si>
  <si>
    <t xml:space="preserve">Link ke 'Master of Price'!G32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</si>
  <si>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</si>
  <si>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</si>
  <si>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</si>
  <si>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</si>
  <si>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</si>
  <si>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</si>
  <si>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</si>
  <si>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</si>
  <si>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</si>
  <si>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</si>
  <si>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ITM-18.5</t>
  </si>
  <si>
    <t xml:space="preserve">JUMLAH HARGA SATUAN — ITM-18 (per Lump Sum)</t>
  </si>
  <si>
    <t xml:space="preserve">Link ke 'Master of Price'!G33</t>
  </si>
  <si>
    <t xml:space="preserve">ITM-24.1</t>
  </si>
  <si>
    <t xml:space="preserve">Pompa submersible 4 inch, 5,5 HP (bodi stainless)</t>
  </si>
  <si>
    <t xml:space="preserve">Alokasi dari set lengkap Rp 6.100.000 (Tokopedia, terendah) di luar kabel/stopper/transport/OVH (v5)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</si>
  <si>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</si>
  <si>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</si>
  <si>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</si>
  <si>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</si>
  <si>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</si>
  <si>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Transport &amp; handling (ongkir cargo supplier → Tebo, door-to-door)</t>
  </si>
  <si>
    <t xml:space="preserve">Paket pompa + kabel ± 70–75 kg chargeable × Rp 5.000–7.500/kg (Rp 350–560rb) + packing kayu + asuransi min Rp 125rb + handling (band ONGKIR Referensi Harga)</t>
  </si>
  <si>
    <t xml:space="preserve">ITM-24.5</t>
  </si>
  <si>
    <t xml:space="preserve">± 4,6% dari harga satuan</t>
  </si>
  <si>
    <t xml:space="preserve">JUMLAH HARGA SATUAN — ITM-24 (per Unit)</t>
  </si>
  <si>
    <t xml:space="preserve">Link ke 'Master of Price'!G34</t>
  </si>
  <si>
    <t xml:space="preserve">ITM-25.1</t>
  </si>
  <si>
    <t xml:space="preserve">Kabel NYM/NYY 2 × 4 mm² sepanjang 50 m</t>
  </si>
  <si>
    <t xml:space="preserve">Roll 50 m Eterna NYM 2×4 SNI ± Rp 1.258.000 (≈ Rp 25.200/m) — ref. Juragan Material (v5)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</si>
  <si>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</si>
  <si>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</si>
  <si>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</si>
  <si>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</si>
  <si>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</si>
  <si>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</si>
  <si>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</si>
  <si>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</si>
  <si>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</si>
  <si>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</si>
  <si>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</si>
  <si>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± 4,2% dari harga satuan</t>
  </si>
  <si>
    <t xml:space="preserve">JUMLAH HARGA SATUAN — ITM-25 (per Lump Sum)</t>
  </si>
  <si>
    <t xml:space="preserve">Link ke 'Master of Price'!G35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</si>
  <si>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</si>
  <si>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</si>
  <si>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</si>
  <si>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</si>
  <si>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</si>
  <si>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</si>
  <si>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</si>
  <si>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</si>
  <si>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Price'!G36</t>
  </si>
  <si>
    <t xml:space="preserve">REFERENSI HARGA | Sumber Harga Pasar per Item (Riset Web 10–11 Sep 2026)</t>
  </si>
  <si>
    <t xml:space="preserve">Dokumentasi sumber referensi harga pasar tiap item RAB (marketplace, distributor, artikel media, regulasi HSPK/SSH).</t>
  </si>
  <si>
    <t xml:space="preserve">Bandingkan kolom 'Harga Pasar Ditemukan' vs 'Harga RAB' (live link ke Master of Price). Catatan berlabel 'SUDAH DITERAPKAN (v5)' = harga referensi sudah dipakai sebagai harga komponen di sheet 'Rincian Harga'; berlabel 'TIDAK DIPAKAI (v5)' = tidak dipakai (mis. baterai — sistem batteryless).</t>
  </si>
  <si>
    <t xml:space="preserve">Tanggal Riset</t>
  </si>
  <si>
    <t xml:space="preserve">10–11 September 2026 (pompa submersible 4" 2 HP: 11 Sep) — harga pasar dapat berubah sewaktu-waktu; sebagian link dapat berubah atau kedaluwarsa.</t>
  </si>
  <si>
    <t xml:space="preserve">Sumber Utama</t>
  </si>
  <si>
    <t xml:space="preserve">Tokopedia, Shopee, Lazada, Blibli, PADI UMKM, Juragan Material, distributor, Detik/Lamudi/Brighton/99.co, JDIH Kab. Tebo, AHSP PU.</t>
  </si>
  <si>
    <t xml:space="preserve">Harga pasar = harga eceran/marketplace online; harga lokal Tebo bisa berbeda karena ongkos kirim &amp; volume. Revisi v5 (11 Sep 2026): harga referensi terpilih SUDAH DITERAPKAN ke komponen sheet 'Rincian Harga' (dulu hanya pembanding).</t>
  </si>
  <si>
    <t xml:space="preserve">DAFTAR REFERENSI HARGA PASAR (25 ITEM + REFERENSI UMUM)</t>
  </si>
  <si>
    <t xml:space="preserve">Kode</t>
  </si>
  <si>
    <t xml:space="preserve">Sat.</t>
  </si>
  <si>
    <t xml:space="preserve">Harga RAB (Rp)</t>
  </si>
  <si>
    <t xml:space="preserve">Harga Pasar Ditemukan</t>
  </si>
  <si>
    <t xml:space="preserve">Sumber / Platform</t>
  </si>
  <si>
    <t xml:space="preserve">Link Referensi</t>
  </si>
  <si>
    <t xml:space="preserve">REFERENSI UMUM (REGULASI &amp; UPAH) — DASAR "HSP KAB. TEOB / UPAH LOKAL"</t>
  </si>
  <si>
    <t xml:space="preserve">UMUM</t>
  </si>
  <si>
    <t xml:space="preserve">PERBUP Kab. Tebo No. 33/2025 — Standar Satuan Harga / SBU / HSPK</t>
  </si>
  <si>
    <t xml:space="preserve">—</t>
  </si>
  <si>
    <t xml:space="preserve">Rp 120.000/OH (pekerja), Rp 150.000/OH (tukang), Rp 175.000/OH (kepala tukang) — Tebo</t>
  </si>
  <si>
    <t xml:space="preserve">JDIH Kab. Tebo (jdih.tebokab.go.id)</t>
  </si>
  <si>
    <t xml:space="preserve">https://jdih.tebokab.go.id</t>
  </si>
  <si>
    <t xml:space="preserve">Regulasi standar harga Kab. Tebo terbaru. Dasar klaim 'HSP Kab. Tebo' pada sheet Rincian Harga.</t>
  </si>
  <si>
    <t xml:space="preserve">Perbup Kab. Tebo No. 2/2022 — SSH &amp; SBU (Perubahan Kedua Perbup 78/2021)</t>
  </si>
  <si>
    <t xml:space="preserve">Standar satuan harga &amp; biaya umum Kab. Tebo 2022</t>
  </si>
  <si>
    <t xml:space="preserve">peraturan.bpk.go.id</t>
  </si>
  <si>
    <t xml:space="preserve">https://peraturan.bpk.go.id</t>
  </si>
  <si>
    <t xml:space="preserve">Arsip regulasi resmi — pembanding tarif upah/material Tebo.</t>
  </si>
  <si>
    <t xml:space="preserve">Perbup Kab. Tebo No. 8/2023 — SSH, HSPK &amp; Analisis Standar Biaya</t>
  </si>
  <si>
    <t xml:space="preserve">Standar harga Kab. Tebo 2023</t>
  </si>
  <si>
    <t xml:space="preserve">pasal.id</t>
  </si>
  <si>
    <t xml:space="preserve">https://pasal.id</t>
  </si>
  <si>
    <t xml:space="preserve">Versi peraturan antara 2022-2025.</t>
  </si>
  <si>
    <t xml:space="preserve">AHSP Bidang Cipta Karya — Kementerian PUPR</t>
  </si>
  <si>
    <t xml:space="preserve">Analisa harga satuan pekerjaan nasional (upah + koefisien material)</t>
  </si>
  <si>
    <t xml:space="preserve">Bina Konstruksi PU (binakonstruksi.pu.go.id)</t>
  </si>
  <si>
    <t xml:space="preserve">https://binakonstruksi.pu.go.id</t>
  </si>
  <si>
    <t xml:space="preserve">Basis analisa upah &amp; koefisien komponen pekerjaan sipil.</t>
  </si>
  <si>
    <t xml:space="preserve">Upah harian Kab. Tebo (drainase): Pekerja Rp 120.000, Tukang Rp 150.000, Kepala Tukang Rp 175.000 per OH</t>
  </si>
  <si>
    <t xml:space="preserve">Scribd — dokumen 'Harga Upah dan Material Drainase Tebo'</t>
  </si>
  <si>
    <t xml:space="preserve">https://id.scribd.com</t>
  </si>
  <si>
    <t xml:space="preserve">Basis keterangan 'Upah lokal Tebo' pada komponen upah di sheet Rincian Harga.</t>
  </si>
  <si>
    <t xml:space="preserve">Analisa Pekerjaan Sumur Bor (komponen rig, lumpur bor, casing, gravel)</t>
  </si>
  <si>
    <t xml:space="preserve">Struktur komponen pengeboran</t>
  </si>
  <si>
    <t xml:space="preserve">Scribd — 'Analisa Pekerjaan Sumur Bor'</t>
  </si>
  <si>
    <t xml:space="preserve">Pembanding struktur komponen pekerjaan pemboran sumur dalam.</t>
  </si>
  <si>
    <t xml:space="preserve">KELOMPOK 1 — PEKERJAAN PENGEORAN SUMUR (ITM-01 s/d ITM-09)</t>
  </si>
  <si>
    <t xml:space="preserve">Jasa bor nasional Rp 150.000–300.000/m'</t>
  </si>
  <si>
    <t xml:space="preserve">Lamudi — artikel 'Berapa Biaya Sumur Bor Terbaru?' (Feb 2024)</t>
  </si>
  <si>
    <t xml:space="preserve">https://www.lamudi.co.id</t>
  </si>
  <si>
    <t xml:space="preserve">RAB Rp 352rb/m = all-in (rig+BBM+lumpur+upah+mob-demob+developing+OVH) — sedikit di atas kisaran jasa bor murni.</t>
  </si>
  <si>
    <t xml:space="preserve">Paket bor: 20 m Rp 5 jt, 30 m Rp 6,5 jt (per kedalaman)</t>
  </si>
  <si>
    <t xml:space="preserve">Tedmond Groups (Okt 2024)</t>
  </si>
  <si>
    <t xml:space="preserve">https://tedmondgroups.co.id</t>
  </si>
  <si>
    <t xml:space="preserve">Paket per kedalaman; tarif per meter menurun pada kedalaman besar.</t>
  </si>
  <si>
    <t xml:space="preserve">Rp 150.000–300.000/m'</t>
  </si>
  <si>
    <t xml:space="preserve">KlopMart (Okt 2023)</t>
  </si>
  <si>
    <t xml:space="preserve">https://www.klopmart.com</t>
  </si>
  <si>
    <t xml:space="preserve">Artikel biaya pembuatan sumur bor — konsisten kisaran nasional.</t>
  </si>
  <si>
    <t xml:space="preserve">Rucika AW 6" 4 m: Rp 786.671/batang (± Rp 196.700/m')</t>
  </si>
  <si>
    <t xml:space="preserve">Juragan Material — Pipa PVC Rucika AW 6"</t>
  </si>
  <si>
    <t xml:space="preserve">https://juraganmaterial.id</t>
  </si>
  <si>
    <t xml:space="preserve">SUDAH DITERAPKAN (v5): material casing ITM-02.1 diperbarui ke ± Rp 196.700/m' (konversi harga batang Rucika AW 6").</t>
  </si>
  <si>
    <t xml:space="preserve">Daftar harga resmi pipa AW per ukuran (Rp 7.050–789.750/m)</t>
  </si>
  <si>
    <t xml:space="preserve">Rucika (produsen)</t>
  </si>
  <si>
    <t xml:space="preserve">https://www.rucika.co.id</t>
  </si>
  <si>
    <t xml:space="preserve">Harga pabrik resmi — cek ukuran AW 6 inch spesifik.</t>
  </si>
  <si>
    <t xml:space="preserve">Pipa PVC AW 2" 4 m: Rp 91.000–146.000/batang (± Rp 23–37rb/m')</t>
  </si>
  <si>
    <t xml:space="preserve">Shopee — pipa PVC AW 2 inch 4 meter</t>
  </si>
  <si>
    <t xml:space="preserve">https://shopee.co.id/search?keyword=pipa%20pvc%20aw%202%20inch%204%20meter</t>
  </si>
  <si>
    <t xml:space="preserve">SUDAH DITERAPKAN (v5): material outlet ITM-03.1 diperbarui ke Rp 22.750/m' (batang eceran terendah Rp 91.000/4 m).</t>
  </si>
  <si>
    <t xml:space="preserve">Harga katalog e-procurement (± Rp 52rb/batang 4 m)</t>
  </si>
  <si>
    <t xml:space="preserve">Inaproc Katalog Elektronik</t>
  </si>
  <si>
    <t xml:space="preserve">https://katalog.inaproc.id</t>
  </si>
  <si>
    <t xml:space="preserve">Harga pengadaan pemerintah sebagai pembanding.</t>
  </si>
  <si>
    <t xml:space="preserve">Silika gravel media filter (per karung 50 kg)</t>
  </si>
  <si>
    <t xml:space="preserve">Aquatech Indonesia</t>
  </si>
  <si>
    <t xml:space="preserve">https://www.aquatechindonesia.net/product/silika-sand-dan-silika-gravel/</t>
  </si>
  <si>
    <t xml:space="preserve">RAB memakai harga grosir lokal per m' annulus (Rp 12rb/m') — beda basis satuan.</t>
  </si>
  <si>
    <t xml:space="preserve">Silika gravel 50 kg/karung (eceran)</t>
  </si>
  <si>
    <t xml:space="preserve">Shopee — Silika Gravel 50kg</t>
  </si>
  <si>
    <t xml:space="preserve">https://shopee.co.id/Silika-Gravel-Silica-Gravel-50-kg-1-karung-1-bag-1-sak-1-zak-i.968575546.21987290207</t>
  </si>
  <si>
    <t xml:space="preserve">Harga eceran per karung; beli partai lebih murah.</t>
  </si>
  <si>
    <t xml:space="preserve">Semen 50 kg: mulai Rp 50.000–58.000/sak (Nov 2024)</t>
  </si>
  <si>
    <t xml:space="preserve">Detik Properti</t>
  </si>
  <si>
    <t xml:space="preserve">https://www.detik.com/properti/berita/d-7632414/harga-semen-termurah-hingga-termahal-per-sak-2024</t>
  </si>
  <si>
    <t xml:space="preserve">Komponen utama grout = semen; RAB Rp 65.000/sak sudah termasuk distribusi ke Tebo.</t>
  </si>
  <si>
    <t xml:space="preserve">Semen Tiga Roda / Holcim 50 kg: Rp 64.500/sak</t>
  </si>
  <si>
    <t xml:space="preserve">Scribd — daftar harga semen</t>
  </si>
  <si>
    <t xml:space="preserve">https://id.scribd.com/document/374720070/Semen-Tiga-Roda-50kg</t>
  </si>
  <si>
    <t xml:space="preserve">Sesuai asumsi RAB Rp 65.000/sak.</t>
  </si>
  <si>
    <t xml:space="preserve">Tarif jasa bor = ITM-01 (Rp 150.000–300.000/m')</t>
  </si>
  <si>
    <t xml:space="preserve">Lamudi (Feb 2024)</t>
  </si>
  <si>
    <t xml:space="preserve">Tarif pemboran sama untuk kedalaman 25–45 m; pembeda hanya volume.</t>
  </si>
  <si>
    <t xml:space="preserve">Tarif pemboran sama untuk semua kedalaman (lihat catatan ITM-01).</t>
  </si>
  <si>
    <t xml:space="preserve">Paket per kedalaman (20 m Rp 5 jt; 30 m Rp 6,5 jt)</t>
  </si>
  <si>
    <t xml:space="preserve">Detik — 'Kisaran Biaya Membuat Sumur Bor' (Nov 2024)</t>
  </si>
  <si>
    <t xml:space="preserve">https://www.detik.com</t>
  </si>
  <si>
    <t xml:space="preserve">Artikel lengkap paket sumur bor per kedalaman.</t>
  </si>
  <si>
    <t xml:space="preserve">Kedalaman 42 m — tarif per meter sama, volume menentukan total.</t>
  </si>
  <si>
    <t xml:space="preserve">KELOMPOK 2 — PEKERJAAN PENGECORAN STRUKTUR BETON (ITM-10 s/d ITM-15)</t>
  </si>
  <si>
    <t xml:space="preserve">Borongan cor beton manual Rp 250.000–350.000/m³</t>
  </si>
  <si>
    <t xml:space="preserve">Brighton (Feb 2025)</t>
  </si>
  <si>
    <t xml:space="preserve">https://www.brighton.co.id/about/articles-all/harga-borongan-cor-beton-manual-untuk-proyek-konstruksi</t>
  </si>
  <si>
    <t xml:space="preserve">Pembanding upah cor+finishing RAB Rp 217rb/m³ (termasuk bekisting sederhana) — dalam kisaran.</t>
  </si>
  <si>
    <t xml:space="preserve">Upah tenaga cor Rp 45.000–60.000/m³ (material terpisah)</t>
  </si>
  <si>
    <t xml:space="preserve">Medcom.id (Okt 2024)</t>
  </si>
  <si>
    <t xml:space="preserve">https://www.medcom.id/properti/news-properti/zNPl0RWN-kisaran-upah-jasa-cor-beton-2024</t>
  </si>
  <si>
    <t xml:space="preserve">Material cor dihitung terpisah di Rincian Harga (semen/pasir/split — lihat referensi masing-masing).</t>
  </si>
  <si>
    <t xml:space="preserve">Borongan galian tanah ± Rp 159.000/m³</t>
  </si>
  <si>
    <t xml:space="preserve">99.co (Sep 2025)</t>
  </si>
  <si>
    <t xml:space="preserve">https://www.99.co</t>
  </si>
  <si>
    <t xml:space="preserve">Pembanding borongan; RAB upah Rp 40rb + alat Rp 5rb = galian upah murni (lebih hemat).</t>
  </si>
  <si>
    <t xml:space="preserve">AHSP menggali 1 m³ tanah biasa: Rp 76.250</t>
  </si>
  <si>
    <t xml:space="preserve">Scribd — Analisa Harga Satuan galian</t>
  </si>
  <si>
    <t xml:space="preserve">Analisa upah resmi — RAB (Rp 45rb/m³ total) berada di bawahnya.</t>
  </si>
  <si>
    <t xml:space="preserve">Pasir beton grade A Rp 320.000/m³ (Bekasi–Jakarta, Jul 2025)</t>
  </si>
  <si>
    <t xml:space="preserve">Harga Jabodetabek; pasir urug lokal Tebo jauh lebih murah (RAB Rp 60rb/m³).</t>
  </si>
  <si>
    <t xml:space="preserve">Pasir per truk 6 m³ ± Rp 1,95 jt (± Rp 325rb/m³)</t>
  </si>
  <si>
    <t xml:space="preserve">Jayawan</t>
  </si>
  <si>
    <t xml:space="preserve">https://jayawan.com</t>
  </si>
  <si>
    <t xml:space="preserve">Konversi harga grosir trukan.</t>
  </si>
  <si>
    <t xml:space="preserve">Batu belah/kali per truk 8 m³ Rp 2,22 jt (± Rp 278rb/m³)</t>
  </si>
  <si>
    <t xml:space="preserve">Tokopedia — batu kali pondasi</t>
  </si>
  <si>
    <t xml:space="preserve">https://www.tokopedia.com/find/batu-kali-pondasi</t>
  </si>
  <si>
    <t xml:space="preserve">RAB batu kosong Rp 95rb/m³ = batu belah lokal Tebo (di bawah harga trukan Jabodetabek).</t>
  </si>
  <si>
    <t xml:space="preserve">Borongan pondasi batu kali Rp 980.000–1.800.000/m³ (terpasang)</t>
  </si>
  <si>
    <t xml:space="preserve">Pinhome</t>
  </si>
  <si>
    <t xml:space="preserve">https://www.pinhome.id</t>
  </si>
  <si>
    <t xml:space="preserve">Harga terpasang all-in; RAB merinci sendiri (total ± Rp 700rb/m³) — lebih hemat.</t>
  </si>
  <si>
    <t xml:space="preserve">Borongan pondasi Rp 454.540–585.475 per meter panjang</t>
  </si>
  <si>
    <t xml:space="preserve">Brighton (Nov 2023)</t>
  </si>
  <si>
    <t xml:space="preserve">https://www.brighton.co.id</t>
  </si>
  <si>
    <t xml:space="preserve">Basis per meter linear — beda satuan dengan RAB (per m³); hanya pembanding.</t>
  </si>
  <si>
    <t xml:space="preserve">Beton cor ready-mix K-175: Rp 730.000–770.000/m³</t>
  </si>
  <si>
    <t xml:space="preserve">99.co (Jul 2025)</t>
  </si>
  <si>
    <t xml:space="preserve">https://www.99.co/id/panduan/harga-borongan-cor-beton</t>
  </si>
  <si>
    <t xml:space="preserve">Pembanding harga beton; RAB sloof manual ± Rp 1jt/m³ termasuk bekisting + upah.</t>
  </si>
  <si>
    <t xml:space="preserve">Jasa borong gelar beton (per m²/m³)</t>
  </si>
  <si>
    <t xml:space="preserve">Readymix.co.id</t>
  </si>
  <si>
    <t xml:space="preserve">https://readymix.co.id/produk/jasa-borong-gelar-beton</t>
  </si>
  <si>
    <t xml:space="preserve">Alternatif ready-mix untuk volume cor lebih besar.</t>
  </si>
  <si>
    <t xml:space="preserve">KELOMPOK 3 — RANGKA PANEL GALVANIS/HOLLOW (GROUND MOUNTING) (ITM-22)</t>
  </si>
  <si>
    <t xml:space="preserve">Hollow galvanis 2×4 cm tebal 1,2 mm @6 m: Rp 47.000/batang (± 25 btg ≈ Rp 1,18 jt)</t>
  </si>
  <si>
    <t xml:space="preserve">Tokopedia — hollow galvanis</t>
  </si>
  <si>
    <t xml:space="preserve">https://www.tokopedia.com/find/hollow-galvanis</t>
  </si>
  <si>
    <t xml:space="preserve">KONSISTEN dengan Rincian Harga (material rangka Rp 1,2jt / ± 25 batang).</t>
  </si>
  <si>
    <t xml:space="preserve">Daftar harga hollow galvanis per ukuran (40×80×1,2mm @6m Rp 235.300)</t>
  </si>
  <si>
    <t xml:space="preserve">SMS Perkasa</t>
  </si>
  <si>
    <t xml:space="preserve">https://www.smsperkasa.com</t>
  </si>
  <si>
    <t xml:space="preserve">Profil hollow lain — pembanding ukuran berbeda.</t>
  </si>
  <si>
    <t xml:space="preserve">KELOMPOK 4 — SOLAR PUMP SUBMERSIBLE BATTERYLESS (ITM-19 s/d ITM-21, ITM-23)</t>
  </si>
  <si>
    <t xml:space="preserve">Pompa Satelit 4" 2 HP stainless: Turbomeister Rp 4.716.000–4.916.000; San Ei (14-5) Rp 3.252.000; MAXPUMP 4SPM 3/25 Rp 4.763.000</t>
  </si>
  <si>
    <t xml:space="preserve">Shopee/Blibli — pompa satelit 4 inch 2 hp</t>
  </si>
  <si>
    <t xml:space="preserve">https://shopee.co.id/search?keyword=pompa%20satelit%204%20inch%202%20hp</t>
  </si>
  <si>
    <t xml:space="preserve">RAB pompa Rp 6,5jt (pump-only) = kelas menengah stainless — di atas merek lokal 4" (Rp 3,2–4,9jt), di bawah kelas BIT/Shimizu (Rp 7,6–11,9jt dgn kabel 50 m).</t>
  </si>
  <si>
    <t xml:space="preserve">Pompa Submersible 4" 2 HP Stainles SS428K BIT + kabel 50 m: Rp 7.600.000</t>
  </si>
  <si>
    <t xml:space="preserve">Sentral Pompa — produk SS428K (distributor)</t>
  </si>
  <si>
    <t xml:space="preserve">https://sentralpompa.com/produk-908-Pompa-Submersible-4-Inch-2-HP-Stainles-SS428K+Kabel-50m.html</t>
  </si>
  <si>
    <t xml:space="preserve">Distributor — kelas menengah-atas dgn kabel 50 m; pump-only ± Rp 6,5jt (kabel submersible 45–50 m ± Rp 1–1,5jt) = dasar harga RAB ITM-19.1.</t>
  </si>
  <si>
    <t xml:space="preserve">Inverter solar pump 2,2 kW: generic Rp 465rb s/d branded ± Rp 5jt</t>
  </si>
  <si>
    <t xml:space="preserve">Tokopedia — inverter solar pump</t>
  </si>
  <si>
    <t xml:space="preserve">https://www.tokopedia.com/find/inverter-solar-pump</t>
  </si>
  <si>
    <t xml:space="preserve">RAB inverter MPPT Rp 5jt = kelas branded dengan MPPT (mis. INVT/Voltronic). Inti sistem BATTERYLESS — pompa bekerja langsung dari PV tanpa baterai.</t>
  </si>
  <si>
    <t xml:space="preserve">Baterai LiFePO4 24V 100Ah (berbagai merek: VOZ, CST, LiTime)</t>
  </si>
  <si>
    <t xml:space="preserve">Tokopedia — lifepo4 24v 100ah</t>
  </si>
  <si>
    <t xml:space="preserve">https://www.tokopedia.com/find/lifepo4-24v-100ah</t>
  </si>
  <si>
    <t xml:space="preserve">TIDAK DIPAKAI (v5): sistem solar pump BATTERYLESS — komponen baterai (Rp 5 jt) dihapus dari paket ITM-19.</t>
  </si>
  <si>
    <t xml:space="preserve">Shimizu SS-428K BIT 4" 2 HP + kabel 50 m: Rp 8.900.000 (Shopee) – Rp 10.375.000 (Tokopedia) – Rp 11.853.556 (Blibli)</t>
  </si>
  <si>
    <t xml:space="preserve">Shimizu (situs resmi) + Shopee/Tokopedia/Blibli</t>
  </si>
  <si>
    <t xml:space="preserve">https://shimizu.co.id</t>
  </si>
  <si>
    <t xml:space="preserve">Batas atas kelas branded (premium) 4" 2 HP — konteks harga RAB Rp 6,5jt pump-only berada di kelas bawahnya. Pembanding kelas 1,5 HP: SS-423K BIT Rp 7.850.000.</t>
  </si>
  <si>
    <t xml:space="preserve">Upah pemasangan pompa = upah teknisi lokal (lihat Referensi Umum)</t>
  </si>
  <si>
    <t xml:space="preserve">Scribd — Upah Kab. Tebo</t>
  </si>
  <si>
    <t xml:space="preserve">Estimasi internal; dasar upah harian Tebo lihat bagian Referensi Umum.</t>
  </si>
  <si>
    <t xml:space="preserve">Panel 550 Wp mono SNI: Rp 2.600.000–4.000.000/unit</t>
  </si>
  <si>
    <t xml:space="preserve">Tokopedia — solar panel 550wp</t>
  </si>
  <si>
    <t xml:space="preserve">https://www.tokopedia.com/find/solar-panel-550wp</t>
  </si>
  <si>
    <t xml:space="preserve">SUDAH DITERAPKAN (v5): komponen modul PV ITM-21.1 diperbarui ke panel SNI Rp 2.648.000 (Solana, Shopee).</t>
  </si>
  <si>
    <t xml:space="preserve">Solana 550 Wp mono SNI ± Rp 2.648.000</t>
  </si>
  <si>
    <t xml:space="preserve">Shopee — gudangpanelsurya</t>
  </si>
  <si>
    <t xml:space="preserve">https://shopee.co.id/Solar-Panel-Surya-PV-550WP-Mono-Ber-SNI-550wp-Monocrystalline-SNI-i.378242829.22052287764</t>
  </si>
  <si>
    <t xml:space="preserve">Produk spesifik ber-SNI.</t>
  </si>
  <si>
    <t xml:space="preserve">AE Solar 550 Wp SNI tipe MD-144</t>
  </si>
  <si>
    <t xml:space="preserve">PADI UMKM — PRIMA PERKASA TEKNIK</t>
  </si>
  <si>
    <t xml:space="preserve">https://padiumkm.id/product/ae-solar-cell-panel-surya-550wp-sni-mono-type-md-144/6749c8c1a1ee7efbffa3db0b</t>
  </si>
  <si>
    <t xml:space="preserve">Marketplace B2B pemerintah.</t>
  </si>
  <si>
    <t xml:space="preserve">Lesso HPM 540/550 Wp mono SNI-TKDN</t>
  </si>
  <si>
    <t xml:space="preserve">Solar Surya Indotama (distributor)</t>
  </si>
  <si>
    <t xml:space="preserve">https://solarsuryaindotama.co.id/katalog-produk/module-solar-panel/solar-pv-lesso-hpm-series-550wp-monocystalline</t>
  </si>
  <si>
    <t xml:space="preserve">Distributor resmi — garansi performansi 25 tahun.</t>
  </si>
  <si>
    <t xml:space="preserve">Upah instalasi listrik/mekanikal — AHSP Cipta Karya</t>
  </si>
  <si>
    <t xml:space="preserve">Bina Konstruksi PU</t>
  </si>
  <si>
    <t xml:space="preserve">Basis upah instalasi; material kabel/grounding dirinci terpisah di sheet Rincian Harga.</t>
  </si>
  <si>
    <t xml:space="preserve">KELOMPOK 5 — DIESEL / PLN PUMP SUBMERSIBLE (ITM-17 s/d ITM-18, ITM-24 s/d ITM-26)</t>
  </si>
  <si>
    <t xml:space="preserve">Mesin Jiangdong JD330 35HP: Rp 22.400.000</t>
  </si>
  <si>
    <t xml:space="preserve">Lazada — tag 'mesin diesel jd 330'</t>
  </si>
  <si>
    <t xml:space="preserve">https://www.lazada.co.id/tag/mesin-diesel-jd-330</t>
  </si>
  <si>
    <t xml:space="preserve">SUDAH DITERAPKAN (v5): komponen mesin ITM-17.1 diperbarui ke Rp 22.400.000 (harga mesin terendah pasar).</t>
  </si>
  <si>
    <t xml:space="preserve">JD330 35HP Jiangdong: Rp 26.150.000–29.900.000</t>
  </si>
  <si>
    <t xml:space="preserve">Shopee — MESIN DIESEL JD330 35HP JIANGDONG</t>
  </si>
  <si>
    <t xml:space="preserve">https://shopee.co.id/MESIN-DIESEL-JD330-35HP-JIANGDONG-i.123248750.4255848393</t>
  </si>
  <si>
    <t xml:space="preserve">Mesin lengkap dengan sistem starter.</t>
  </si>
  <si>
    <t xml:space="preserve">Spesifikasi JD330D: 35 HP / 2.200 rpm, 1.593 L, 4 langkah 1 silinder</t>
  </si>
  <si>
    <t xml:space="preserve">Distributor Diesel</t>
  </si>
  <si>
    <t xml:space="preserve">https://distributordiesel.com/product/mesin-diesel-35-hp-jiangdong-jd-330-d</t>
  </si>
  <si>
    <t xml:space="preserve">Situs distributor — cek harga terkini langsung.</t>
  </si>
  <si>
    <t xml:space="preserve">JD330 35PK Jiangdong (tanpa tangki)</t>
  </si>
  <si>
    <t xml:space="preserve">Tokopedia — Cetamin</t>
  </si>
  <si>
    <t xml:space="preserve">https://www.tokopedia.com/cetamin/mesin-diesel-jd330-jd-330-35pk-35hp-jiangdong-tanpa-tanki</t>
  </si>
  <si>
    <t xml:space="preserve">Toko online lain pembanding.</t>
  </si>
  <si>
    <t xml:space="preserve">JD330 35PK + hopper starter (paket Blibli)</t>
  </si>
  <si>
    <t xml:space="preserve">Blibli</t>
  </si>
  <si>
    <t xml:space="preserve">https://www.blibli.com/p/mesin-penggerak-jd-330-d-jiangdong-35-hp-diesel-hopper-starter-35-pk/ps--SUG-70033-00409</t>
  </si>
  <si>
    <t xml:space="preserve">Paket lengkap distributor online.</t>
  </si>
  <si>
    <t xml:space="preserve">Komponen instalasi pompa: pipa hisap/lepas + fitting + kaki vakum</t>
  </si>
  <si>
    <t xml:space="preserve">Scribd — Analisa Pekerjaan Sumur Bor</t>
  </si>
  <si>
    <t xml:space="preserve">Struktur komponen pembanding; upah instalasi = estimasi internal berbasis upah lokal Tebo.</t>
  </si>
  <si>
    <t xml:space="preserve">Set pompa submersible 4" 5,5HP 4kW: Rp 6.100.000–10.380.000</t>
  </si>
  <si>
    <t xml:space="preserve">Tokopedia — pompa submersible 4 inch 5.5hp</t>
  </si>
  <si>
    <t xml:space="preserve">https://www.tokopedia.com/find/pompa-submersible-4-inch-5-5hp</t>
  </si>
  <si>
    <t xml:space="preserve">SUDAH DITERAPKAN (v5): total item ITM-24 dinaikkan ke Rp 6,1 jt (set lengkap terendah) — komponen pompa Rp 4,3 jt.</t>
  </si>
  <si>
    <t xml:space="preserve">Body submersible 4" + 8 kipas stainless: Rp 3.003.000</t>
  </si>
  <si>
    <t xml:space="preserve">https://www.blibli.com</t>
  </si>
  <si>
    <t xml:space="preserve">Unit body saja (tanpa motor/kabel lengkap).</t>
  </si>
  <si>
    <t xml:space="preserve">Submersible 4" impor (Pedrollo dll): hingga Rp 23.350.000</t>
  </si>
  <si>
    <t xml:space="preserve">Sentral Pompa</t>
  </si>
  <si>
    <t xml:space="preserve">https://sentralpompa.com</t>
  </si>
  <si>
    <t xml:space="preserve">Kelas impor premium sebagai batas atas kisaran.</t>
  </si>
  <si>
    <t xml:space="preserve">Kabel NYM 2×4 mm SNI: Rp 23.000–27.000/m (eceran)</t>
  </si>
  <si>
    <t xml:space="preserve">Lazada — kabel NYM 2x4 meteran</t>
  </si>
  <si>
    <t xml:space="preserve">https://www.lazada.co.id/catalog/?q=kabel%20nym%202x4%20meteran</t>
  </si>
  <si>
    <t xml:space="preserve">SUDAH DITERAPKAN (v5): komponen kabel ITM-25.1 diperbarui ke roll SNI 50 m ± Rp 1,26 jt (≈ Rp 25.200/m).</t>
  </si>
  <si>
    <t xml:space="preserve">Roll Eterna NYM 2×4 50 m Rp 1.258.427 (± Rp 25.200/m)</t>
  </si>
  <si>
    <t xml:space="preserve">Juragan Material</t>
  </si>
  <si>
    <t xml:space="preserve">Konfirmasi harga per meter beli roll.</t>
  </si>
  <si>
    <t xml:space="preserve">Upah pemasangan pompa submersible = upah teknisi lokal</t>
  </si>
  <si>
    <t xml:space="preserve">Estimasi internal; item bernilai kecil (&lt; Rp 500rb).</t>
  </si>
  <si>
    <t xml:space="preserve">REFERENSI ONGKIR / LOGISTIK — CARGO DARAT TANGERANG/JAKARTA → MUARA TEBO (KAB. TEBO), RISET 11 SEPTEMBER 2026</t>
  </si>
  <si>
    <t xml:space="preserve">ONGKIR</t>
  </si>
  <si>
    <t xml:space="preserve">Tarif cargo darat Jakarta/Tangerang → MUARA TEBO (Kab. Tebo): Rp 5.000/kg</t>
  </si>
  <si>
    <t xml:space="preserve">Jakarta → Muara Tebo Rp 5.000/kg (rute spesifik, dikutip 11 Sep 2026)</t>
  </si>
  <si>
    <t xml:space="preserve">RIS Kargo — halaman tarif Ekspedisi Jakarta–Jambi</t>
  </si>
  <si>
    <t xml:space="preserve">https://riskargo.com/cek-tarif/ekspedisi-jakarta-jambi</t>
  </si>
  <si>
    <t xml:space="preserve">Batas bawah kisaran ongkir. Dipakai sebagai dasar hitung komponen transport ITM-19.6 / ITM-21.4 / ITM-17.4 / ITM-24.4 di sheet Rincian Harga.</t>
  </si>
  <si>
    <t xml:space="preserve">Tarif cargo darat Jakarta → MUARA TEBO (Kab. Tebo): Rp 7.500/kg, 5-7 hari</t>
  </si>
  <si>
    <t xml:space="preserve">Muara Tebo Rp 7.500/kg darat; Kota Jambi Rp 3.750/kg; Muara Bulian Rp 6.500/kg</t>
  </si>
  <si>
    <t xml:space="preserve">SNG Logistic — tabel Tarif Pengiriman Jakarta–Jambi</t>
  </si>
  <si>
    <t xml:space="preserve">https://snglogistic.com/tarif-pengiriman-jakarta-jambi.html</t>
  </si>
  <si>
    <t xml:space="preserve">Tabel resmi (dikutip 11 Sep 2026) — batas atas kisaran ongkir ke Tebo.</t>
  </si>
  <si>
    <t xml:space="preserve">Ekspedisi Jakarta → Muara Tebo: berat volumetrik P×L×T/4000; asuransi mulai Rp 125rb; packing kayu P×L×T×0,6</t>
  </si>
  <si>
    <t xml:space="preserve">Volumetrik vs berat asli — ditagih yang lebih besar (contoh resmi: 150 kg dimensi 371 kg → 371 kg)</t>
  </si>
  <si>
    <t xml:space="preserve">Insan Cargo — halaman Ekspedisi Jakarta–Muara Tebo</t>
  </si>
  <si>
    <t xml:space="preserve">https://insancargo.com/tarif-pengiriman/cargo-darat/ekspedisi-jakarta-muara-tebo</t>
  </si>
  <si>
    <t xml:space="preserve">Ketentuan hitung kargo: barang ringan-berdimensi besar (mis. panel surya) ditagih berat volumetrik; ongkir belum termasuk asuransi &amp; packing.</t>
  </si>
  <si>
    <t xml:space="preserve">ONGKIR PANEL SURYA 550 Wp Tangerang → Tebo: realistis ± Rp 250.000–500.000/unit</t>
  </si>
  <si>
    <t xml:space="preserve">Panel ± 30 kg &amp; 2,27 × 1,13 m (koli panjang): 30 kg × Rp 5.000–7.500/kg = Rp 150–225rb + packing kayu + asuransi (min Rp 125rb/kiriman) + handling/oversize</t>
  </si>
  <si>
    <t xml:space="preserve">Hitungan dari tarif RIS Kargo/SNG + spesifikasi panel 550 Wp</t>
  </si>
  <si>
    <t xml:space="preserve">DITERAPKAN (v6): ITM-21.4 = Rp 400rb/unit (pengiriman batch 5 panel/paket). Jika dikirim tunggal/retail, ongkir per unit mendekati batas atas kisaran.</t>
  </si>
  <si>
    <t xml:space="preserve">Spesifikasi panel 550 Wp: berat ± 27–32 kg/unit; dimensi ± 2.270 × 1.134 × 35 mm</t>
  </si>
  <si>
    <t xml:space="preserve">Berat 27–32 kg (Solterra 29 kg; Tokopedia 30 kg; Blue Carbon 24,5 kg)</t>
  </si>
  <si>
    <t xml:space="preserve">Tokopedia/Blue Carbon/PretaPower — spesifikasi panel 550 Wp</t>
  </si>
  <si>
    <t xml:space="preserve">Basis hitung berat kirim panel; dimensi &gt; 2 m tergolong koli panjang (umumnya kena minimum koli/biaya tambahan).</t>
  </si>
  <si>
    <t xml:space="preserve">ONGKIR MESIN DIESEL JD330 Jakarta → Tebo: realistis ± Rp 1,5–2,75 jt/unit</t>
  </si>
  <si>
    <t xml:space="preserve">Mesin ± 270 kg (Tokopedia/Sentrafog) + packing ≈ 300 kg × Rp 5.000–7.500/kg = Rp 1,5–2,25 jt + bongkar-muat mesin berat &amp; antar lokasi</t>
  </si>
  <si>
    <t xml:space="preserve">Hitungan tarif RIS/SNG + berat mesin; pembanding SNG: kirim pompa 450 kg @ Rp 4.500/kg = Rp 2,02 jt</t>
  </si>
  <si>
    <t xml:space="preserve">https://snglogistic.com</t>
  </si>
  <si>
    <t xml:space="preserve">DITERAPKAN (v6): ITM-17.4 = Rp 2 jt/unit. Studi kasus nyata SNG Logistic: mesin pompa total 450 kg dikirim Rp 4.500/kg (7-10 hari).</t>
  </si>
  <si>
    <t xml:space="preserve">Sewa truk FTL Jakarta → Jambi: Colt Diesel Rp 8–10 jt; Fuso Rp 17–18 jt (2-4 hari)</t>
  </si>
  <si>
    <t xml:space="preserve">Colt Diesel (4 ton) Rp 8–10 jt; Fuso (7 ton) Rp 17–18 jt per trum</t>
  </si>
  <si>
    <t xml:space="preserve">Go-Truk — harga sewa truk Jakarta–Jambi</t>
  </si>
  <si>
    <t xml:space="preserve">https://go-truk.com</t>
  </si>
  <si>
    <t xml:space="preserve">Pembanding opsi pengiriman massal satu truk penuh (mis. seluruh 45 panel + 9 pompa proyek dikirim sekali) — ongkir per unit jauh turun dibanding LTL per-kg.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</si>
  <si>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</si>
  <si>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</si>
  <si>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</si>
  <si>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</si>
  <si>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</si>
  <si>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</t>
  </si>
  <si>
    <t xml:space="preserve">Kedalaman Sumur</t>
  </si>
  <si>
    <t xml:space="preserve">40 (asumsi standar DAK) m</t>
  </si>
  <si>
    <t xml:space="preserve">Anggaran Maksimal</t>
  </si>
  <si>
    <t xml:space="preserve">HSP Kab. Tebo / DPU Jambi (estimasi 2024-2025), all-in (inc. OVW &amp; profit)</t>
  </si>
  <si>
    <t xml:space="preserve">Kelompok 1: PEKERJAAN PENGEORAN SUMUR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</si>
  <si>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</si>
  <si>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</si>
  <si>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</si>
  <si>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</si>
  <si>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</si>
  <si>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PENGEORAN SUMUR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</si>
  <si>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</si>
  <si>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</si>
  <si>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</si>
  <si>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</si>
  <si>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</si>
  <si>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PENGEORAN SUMUR</t>
  </si>
  <si>
    <t xml:space="preserve">Kelompok 2: PEKERJAAN PENGECORAN STRUKTUR BETON</t>
  </si>
  <si>
    <t xml:space="preserve">2.</t>
  </si>
  <si>
    <t xml:space="preserve">PEKERJAAN PENGECORAN STRUKTUR BETON</t>
  </si>
  <si>
    <t xml:space="preserve">2.1.</t>
  </si>
  <si>
    <t xml:space="preserve">SUB-TOTAL PENGECORAN STRUKTUR BETON</t>
  </si>
  <si>
    <t xml:space="preserve">Kelompok 5: DIESEL / PLN PUMP SUBMERSIBLE</t>
  </si>
  <si>
    <t xml:space="preserve">5.</t>
  </si>
  <si>
    <t xml:space="preserve">DIESEL / PLN PUMP SUBMERSIBLE</t>
  </si>
  <si>
    <t xml:space="preserve">5.1.</t>
  </si>
  <si>
    <t xml:space="preserve">5.2.</t>
  </si>
  <si>
    <t xml:space="preserve">SUB-TOTAL DIESEL/PLN PUMP SUBMERSIBLE</t>
  </si>
  <si>
    <t xml:space="preserve">OVERHEAD (LUMP SUM ALL-IN)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</si>
  <si>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</si>
  <si>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</si>
  <si>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</si>
  <si>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</si>
  <si>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</si>
  <si>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</si>
  <si>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</si>
  <si>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Solar Batteryless (Pompa 2 HP + 5 Panel 550Wp + Rangka Galvanis/Hollow)</t>
  </si>
  <si>
    <t xml:space="preserve">40 m</t>
  </si>
  <si>
    <t xml:space="preserve">2.2.</t>
  </si>
  <si>
    <t xml:space="preserve">2.3.</t>
  </si>
  <si>
    <t xml:space="preserve">2.4.</t>
  </si>
  <si>
    <t xml:space="preserve">2.5.</t>
  </si>
  <si>
    <t xml:space="preserve">2.6.</t>
  </si>
  <si>
    <t xml:space="preserve">Kelompok 3: RANGKA PANEL GALVANIS/HOLLOW (GROUND MOUNTING)</t>
  </si>
  <si>
    <t xml:space="preserve">3.</t>
  </si>
  <si>
    <t xml:space="preserve">RANGKA PANEL GALVANIS/HOLLOW (GROUND MOUNTING)</t>
  </si>
  <si>
    <t xml:space="preserve">3.1.</t>
  </si>
  <si>
    <t xml:space="preserve">SUB-TOTAL RANGKA PANEL GALVANIS/HOLLOW</t>
  </si>
  <si>
    <t xml:space="preserve">Kelompok 4: SOLAR PUMP SUBMERSIBLE</t>
  </si>
  <si>
    <t xml:space="preserve">4.</t>
  </si>
  <si>
    <t xml:space="preserve">SOLAR PUMP SUBMERSIBLE</t>
  </si>
  <si>
    <t xml:space="preserve">4.1.</t>
  </si>
  <si>
    <t xml:space="preserve">4.2.</t>
  </si>
  <si>
    <t xml:space="preserve">4.3.</t>
  </si>
  <si>
    <t xml:space="preserve">4.4.</t>
  </si>
  <si>
    <t xml:space="preserve">SUB-TOTAL SOLAR PUMP SUBMERSIBLE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</si>
  <si>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</si>
  <si>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</si>
  <si>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</si>
  <si>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5.3.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</si>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</sst>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p&quot;#,##0;&quot;(Rp&quot;#,##0\);\-"/>
    <numFmt numFmtId="166" formatCode="&quot;Rp&quot;#,##0.00;&quot;(Rp&quot;#,##0.00\);\-"/>
    <numFmt numFmtId="167" formatCode="@"/>
    <numFmt numFmtId="168" formatCode="&quot;Rp&quot;#,##0;&quot;(Rp&quot;#,##0\)"/>
    <numFmt numFmtId="169" formatCode="#,##0.0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"/>
      <family val="0"/>
      <charset val="1"/>
    </font>
    <font>
      <sz val="10"/>
      <color rgb="FF1B2A4A"/>
      <name val="Noto Sans"/>
      <family val="0"/>
      <charset val="1"/>
    </font>
    <font>
      <sz val="11"/>
      <color rgb="FF37352F"/>
      <name val="Noto Sans"/>
      <family val="0"/>
      <charset val="1"/>
    </font>
    <font>
      <sz val="12"/>
      <color rgb="FF1B2A4A"/>
      <name val="Noto Sans"/>
      <family val="0"/>
      <charset val="1"/>
    </font>
    <font>
      <sz val="11"/>
      <color rgb="FFFFFFFF"/>
      <name val="Noto Sans"/>
      <family val="0"/>
      <charset val="1"/>
    </font>
    <font>
      <sz val="11"/>
      <color rgb="FF1B2A4A"/>
      <name val="Noto Sans"/>
      <family val="0"/>
      <charset val="1"/>
    </font>
    <font>
      <sz val="10"/>
      <color rgb="FF8C8A84"/>
      <name val="Noto Sans"/>
      <family val="0"/>
      <charset val="1"/>
    </font>
    <font>
      <sz val="9"/>
      <color rgb="FF8C8A84"/>
      <name val="Noto Sans"/>
      <family val="0"/>
      <charset val="1"/>
    </font>
    <font>
      <sz val="9"/>
      <color rgb="FFFFFFFF"/>
      <name val="Noto Sans"/>
      <family val="0"/>
      <charset val="1"/>
    </font>
    <font>
      <sz val="10"/>
      <color rgb="FFFFFFFF"/>
      <name val="Noto Sans"/>
      <family val="0"/>
      <charset val="1"/>
    </font>
    <font>
      <sz val="8"/>
      <color rgb="FF37352F"/>
      <name val="Noto Sans"/>
      <family val="0"/>
      <charset val="1"/>
    </font>
    <font>
      <sz val="10"/>
      <color rgb="FF37352F"/>
      <name val="Noto Sans"/>
      <family val="0"/>
      <charset val="1"/>
    </font>
    <font>
      <u val="single"/>
      <sz val="10"/>
      <color rgb="FF1B7D46"/>
      <name val="Noto Sans"/>
      <family val="0"/>
      <charset val="1"/>
    </font>
    <font>
      <sz val="12"/>
      <color rgb="FF1B7D46"/>
      <name val="Noto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4A86E8"/>
        <bgColor rgb="FF2E75B6"/>
      </patternFill>
    </fill>
    <fill>
      <patternFill patternType="solid">
        <fgColor rgb="FF00FFFF"/>
        <bgColor rgb="FF00FFFF"/>
      </patternFill>
    </fill>
    <fill>
      <patternFill patternType="solid">
        <fgColor rgb="FFF7F7F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C55A11"/>
      <rgbColor rgb="FF4A86E8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lamudi.co.id/" TargetMode="External"/><Relationship Id="rId2" Type="http://schemas.openxmlformats.org/officeDocument/2006/relationships/hyperlink" Target="https://juraganmaterial.id/" TargetMode="External"/><Relationship Id="rId3" Type="http://schemas.openxmlformats.org/officeDocument/2006/relationships/hyperlink" Target="https://shopee.co.id/search?keyword=pipa%20pvc%20aw%202%20inch%204%20meter" TargetMode="External"/><Relationship Id="rId4" Type="http://schemas.openxmlformats.org/officeDocument/2006/relationships/hyperlink" Target="https://www.aquatechindonesia.net/product/silika-sand-dan-silika-gravel/" TargetMode="External"/><Relationship Id="rId5" Type="http://schemas.openxmlformats.org/officeDocument/2006/relationships/hyperlink" Target="https://www.detik.com/properti/berita/d-7632414/harga-semen-termurah-hingga-termahal-per-sak-2024" TargetMode="External"/><Relationship Id="rId6" Type="http://schemas.openxmlformats.org/officeDocument/2006/relationships/hyperlink" Target="https://www.lamudi.co.id/" TargetMode="External"/><Relationship Id="rId7" Type="http://schemas.openxmlformats.org/officeDocument/2006/relationships/hyperlink" Target="https://www.klopmart.com/" TargetMode="External"/><Relationship Id="rId8" Type="http://schemas.openxmlformats.org/officeDocument/2006/relationships/hyperlink" Target="https://www.detik.com/" TargetMode="External"/><Relationship Id="rId9" Type="http://schemas.openxmlformats.org/officeDocument/2006/relationships/hyperlink" Target="https://www.lamudi.co.id/" TargetMode="External"/><Relationship Id="rId10" Type="http://schemas.openxmlformats.org/officeDocument/2006/relationships/hyperlink" Target="https://www.medcom.id/properti/news-properti/zNPl0RWN-kisaran-upah-jasa-cor-beton-2024" TargetMode="External"/><Relationship Id="rId11" Type="http://schemas.openxmlformats.org/officeDocument/2006/relationships/hyperlink" Target="https://www.brighton.co.id/about/articles-all/harga-borongan-cor-beton-manual-untuk-proyek-konstruksi" TargetMode="External"/><Relationship Id="rId12" Type="http://schemas.openxmlformats.org/officeDocument/2006/relationships/hyperlink" Target="https://www.99.co/" TargetMode="External"/><Relationship Id="rId13" Type="http://schemas.openxmlformats.org/officeDocument/2006/relationships/hyperlink" Target="https://id.scribd.com/" TargetMode="External"/><Relationship Id="rId14" Type="http://schemas.openxmlformats.org/officeDocument/2006/relationships/hyperlink" Target="https://www.detik.com/" TargetMode="External"/><Relationship Id="rId15" Type="http://schemas.openxmlformats.org/officeDocument/2006/relationships/hyperlink" Target="https://www.tokopedia.com/find/batu-kali-pondasi" TargetMode="External"/><Relationship Id="rId16" Type="http://schemas.openxmlformats.org/officeDocument/2006/relationships/hyperlink" Target="https://www.pinhome.id/" TargetMode="External"/><Relationship Id="rId17" Type="http://schemas.openxmlformats.org/officeDocument/2006/relationships/hyperlink" Target="https://www.99.co/id/panduan/harga-borongan-cor-beton" TargetMode="External"/><Relationship Id="rId18" Type="http://schemas.openxmlformats.org/officeDocument/2006/relationships/hyperlink" Target="https://www.tokopedia.com/find/hollow-galvanis" TargetMode="External"/><Relationship Id="rId19" Type="http://schemas.openxmlformats.org/officeDocument/2006/relationships/hyperlink" Target="https://shopee.co.id/search?keyword=pompa%20satelit%203%20inch%202%20hp" TargetMode="External"/><Relationship Id="rId20" Type="http://schemas.openxmlformats.org/officeDocument/2006/relationships/hyperlink" Target="https://www.tokopedia.com/find/inverter-solar-pump" TargetMode="External"/><Relationship Id="rId21" Type="http://schemas.openxmlformats.org/officeDocument/2006/relationships/hyperlink" Target="https://riskargo.com/cek-tarif/ekspedisi-jakarta-jambi" TargetMode="External"/><Relationship Id="rId22" Type="http://schemas.openxmlformats.org/officeDocument/2006/relationships/hyperlink" Target="https://id.scribd.com/" TargetMode="External"/><Relationship Id="rId23" Type="http://schemas.openxmlformats.org/officeDocument/2006/relationships/hyperlink" Target="https://www.tokopedia.com/find/solar-panel-550wp" TargetMode="External"/><Relationship Id="rId24" Type="http://schemas.openxmlformats.org/officeDocument/2006/relationships/hyperlink" Target="https://riskargo.com/cek-tarif/ekspedisi-jakarta-jambi" TargetMode="External"/><Relationship Id="rId25" Type="http://schemas.openxmlformats.org/officeDocument/2006/relationships/hyperlink" Target="https://binakonstruksi.pu.go.id/" TargetMode="External"/><Relationship Id="rId26" Type="http://schemas.openxmlformats.org/officeDocument/2006/relationships/hyperlink" Target="https://www.lazada.co.id/tag/mesin-diesel-jd-330" TargetMode="External"/><Relationship Id="rId27" Type="http://schemas.openxmlformats.org/officeDocument/2006/relationships/hyperlink" Target="https://snglogistic.com/" TargetMode="External"/><Relationship Id="rId28" Type="http://schemas.openxmlformats.org/officeDocument/2006/relationships/hyperlink" Target="https://id.scribd.com/" TargetMode="External"/><Relationship Id="rId29" Type="http://schemas.openxmlformats.org/officeDocument/2006/relationships/hyperlink" Target="https://www.tokopedia.com/find/pompa-submersible-4-inch-5-5hp" TargetMode="External"/><Relationship Id="rId30" Type="http://schemas.openxmlformats.org/officeDocument/2006/relationships/hyperlink" Target="https://snglogistic.com/tarif-pengiriman-jakarta-jambi.html" TargetMode="External"/><Relationship Id="rId31" Type="http://schemas.openxmlformats.org/officeDocument/2006/relationships/hyperlink" Target="https://www.lazada.co.id/catalog/?q=kabel%20nym%202x4%20meteran" TargetMode="External"/><Relationship Id="rId32" Type="http://schemas.openxmlformats.org/officeDocument/2006/relationships/hyperlink" Target="https://id.scribd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jdih.tebokab.go.id/" TargetMode="External"/><Relationship Id="rId2" Type="http://schemas.openxmlformats.org/officeDocument/2006/relationships/hyperlink" Target="https://peraturan.bpk.go.id/" TargetMode="External"/><Relationship Id="rId3" Type="http://schemas.openxmlformats.org/officeDocument/2006/relationships/hyperlink" Target="https://pasal.id/" TargetMode="External"/><Relationship Id="rId4" Type="http://schemas.openxmlformats.org/officeDocument/2006/relationships/hyperlink" Target="https://binakonstruksi.pu.go.id/" TargetMode="External"/><Relationship Id="rId5" Type="http://schemas.openxmlformats.org/officeDocument/2006/relationships/hyperlink" Target="https://id.scribd.com/" TargetMode="External"/><Relationship Id="rId6" Type="http://schemas.openxmlformats.org/officeDocument/2006/relationships/hyperlink" Target="https://id.scribd.com/" TargetMode="External"/><Relationship Id="rId7" Type="http://schemas.openxmlformats.org/officeDocument/2006/relationships/hyperlink" Target="https://www.lamudi.co.id/" TargetMode="External"/><Relationship Id="rId8" Type="http://schemas.openxmlformats.org/officeDocument/2006/relationships/hyperlink" Target="https://tedmondgroups.co.id/" TargetMode="External"/><Relationship Id="rId9" Type="http://schemas.openxmlformats.org/officeDocument/2006/relationships/hyperlink" Target="https://www.klopmart.com/" TargetMode="External"/><Relationship Id="rId10" Type="http://schemas.openxmlformats.org/officeDocument/2006/relationships/hyperlink" Target="https://juraganmaterial.id/" TargetMode="External"/><Relationship Id="rId11" Type="http://schemas.openxmlformats.org/officeDocument/2006/relationships/hyperlink" Target="https://www.rucika.co.id/" TargetMode="External"/><Relationship Id="rId12" Type="http://schemas.openxmlformats.org/officeDocument/2006/relationships/hyperlink" Target="https://shopee.co.id/search?keyword=pipa%20pvc%20aw%202%20inch%204%20meter" TargetMode="External"/><Relationship Id="rId13" Type="http://schemas.openxmlformats.org/officeDocument/2006/relationships/hyperlink" Target="https://katalog.inaproc.id/" TargetMode="External"/><Relationship Id="rId14" Type="http://schemas.openxmlformats.org/officeDocument/2006/relationships/hyperlink" Target="https://www.aquatechindonesia.net/product/silika-sand-dan-silika-gravel/" TargetMode="External"/><Relationship Id="rId15" Type="http://schemas.openxmlformats.org/officeDocument/2006/relationships/hyperlink" Target="https://shopee.co.id/Silika-Gravel-Silica-Gravel-50-kg-1-karung-1-bag-1-sak-1-zak-i.968575546.21987290207" TargetMode="External"/><Relationship Id="rId16" Type="http://schemas.openxmlformats.org/officeDocument/2006/relationships/hyperlink" Target="https://www.detik.com/properti/berita/d-7632414/harga-semen-termurah-hingga-termahal-per-sak-2024" TargetMode="External"/><Relationship Id="rId17" Type="http://schemas.openxmlformats.org/officeDocument/2006/relationships/hyperlink" Target="https://id.scribd.com/document/374720070/Semen-Tiga-Roda-50kg" TargetMode="External"/><Relationship Id="rId18" Type="http://schemas.openxmlformats.org/officeDocument/2006/relationships/hyperlink" Target="https://www.lamudi.co.id/" TargetMode="External"/><Relationship Id="rId19" Type="http://schemas.openxmlformats.org/officeDocument/2006/relationships/hyperlink" Target="https://www.klopmart.com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lamudi.co.id/" TargetMode="External"/><Relationship Id="rId22" Type="http://schemas.openxmlformats.org/officeDocument/2006/relationships/hyperlink" Target="https://www.brighton.co.id/about/articles-all/harga-borongan-cor-beton-manual-untuk-proyek-konstruksi" TargetMode="External"/><Relationship Id="rId23" Type="http://schemas.openxmlformats.org/officeDocument/2006/relationships/hyperlink" Target="https://www.medcom.id/properti/news-properti/zNPl0RWN-kisaran-upah-jasa-cor-beton-2024" TargetMode="External"/><Relationship Id="rId24" Type="http://schemas.openxmlformats.org/officeDocument/2006/relationships/hyperlink" Target="https://www.99.co/" TargetMode="External"/><Relationship Id="rId25" Type="http://schemas.openxmlformats.org/officeDocument/2006/relationships/hyperlink" Target="https://id.scribd.com/" TargetMode="External"/><Relationship Id="rId26" Type="http://schemas.openxmlformats.org/officeDocument/2006/relationships/hyperlink" Target="https://www.detik.com/" TargetMode="External"/><Relationship Id="rId27" Type="http://schemas.openxmlformats.org/officeDocument/2006/relationships/hyperlink" Target="https://jayawan.com/" TargetMode="External"/><Relationship Id="rId28" Type="http://schemas.openxmlformats.org/officeDocument/2006/relationships/hyperlink" Target="https://www.tokopedia.com/find/batu-kali-pondasi" TargetMode="External"/><Relationship Id="rId29" Type="http://schemas.openxmlformats.org/officeDocument/2006/relationships/hyperlink" Target="https://www.pinhome.id/" TargetMode="External"/><Relationship Id="rId30" Type="http://schemas.openxmlformats.org/officeDocument/2006/relationships/hyperlink" Target="https://www.brighton.co.id/" TargetMode="External"/><Relationship Id="rId31" Type="http://schemas.openxmlformats.org/officeDocument/2006/relationships/hyperlink" Target="https://www.99.co/id/panduan/harga-borongan-cor-beton" TargetMode="External"/><Relationship Id="rId32" Type="http://schemas.openxmlformats.org/officeDocument/2006/relationships/hyperlink" Target="https://readymix.co.id/produk/jasa-borong-gelar-beton" TargetMode="External"/><Relationship Id="rId33" Type="http://schemas.openxmlformats.org/officeDocument/2006/relationships/hyperlink" Target="https://www.tokopedia.com/find/hollow-galvanis" TargetMode="External"/><Relationship Id="rId34" Type="http://schemas.openxmlformats.org/officeDocument/2006/relationships/hyperlink" Target="https://www.smsperkasa.com/" TargetMode="External"/><Relationship Id="rId35" Type="http://schemas.openxmlformats.org/officeDocument/2006/relationships/hyperlink" Target="https://shopee.co.id/search?keyword=pompa%20satelit%204%20inch%202%20hp" TargetMode="External"/><Relationship Id="rId36" Type="http://schemas.openxmlformats.org/officeDocument/2006/relationships/hyperlink" Target="https://sentralpompa.com/produk-908-Pompa-Submersible-4-Inch-2-HP-Stainles-SS428K+Kabel-50m.html" TargetMode="External"/><Relationship Id="rId37" Type="http://schemas.openxmlformats.org/officeDocument/2006/relationships/hyperlink" Target="https://www.tokopedia.com/find/inverter-solar-pump" TargetMode="External"/><Relationship Id="rId38" Type="http://schemas.openxmlformats.org/officeDocument/2006/relationships/hyperlink" Target="https://www.tokopedia.com/find/lifepo4-24v-100ah" TargetMode="External"/><Relationship Id="rId39" Type="http://schemas.openxmlformats.org/officeDocument/2006/relationships/hyperlink" Target="https://shimizu.co.id/" TargetMode="External"/><Relationship Id="rId40" Type="http://schemas.openxmlformats.org/officeDocument/2006/relationships/hyperlink" Target="https://id.scribd.com/" TargetMode="External"/><Relationship Id="rId41" Type="http://schemas.openxmlformats.org/officeDocument/2006/relationships/hyperlink" Target="https://www.tokopedia.com/find/solar-panel-550wp" TargetMode="External"/><Relationship Id="rId42" Type="http://schemas.openxmlformats.org/officeDocument/2006/relationships/hyperlink" Target="https://shopee.co.id/Solar-Panel-Surya-PV-550WP-Mono-Ber-SNI-550wp-Monocrystalline-SNI-i.378242829.22052287764" TargetMode="External"/><Relationship Id="rId43" Type="http://schemas.openxmlformats.org/officeDocument/2006/relationships/hyperlink" Target="https://padiumkm.id/product/ae-solar-cell-panel-surya-550wp-sni-mono-type-md-144/6749c8c1a1ee7efbffa3db0b" TargetMode="External"/><Relationship Id="rId44" Type="http://schemas.openxmlformats.org/officeDocument/2006/relationships/hyperlink" Target="https://solarsuryaindotama.co.id/katalog-produk/module-solar-panel/solar-pv-lesso-hpm-series-550wp-monocystalline" TargetMode="External"/><Relationship Id="rId45" Type="http://schemas.openxmlformats.org/officeDocument/2006/relationships/hyperlink" Target="https://binakonstruksi.pu.go.id/" TargetMode="External"/><Relationship Id="rId46" Type="http://schemas.openxmlformats.org/officeDocument/2006/relationships/hyperlink" Target="https://www.lazada.co.id/tag/mesin-diesel-jd-330" TargetMode="External"/><Relationship Id="rId47" Type="http://schemas.openxmlformats.org/officeDocument/2006/relationships/hyperlink" Target="https://shopee.co.id/MESIN-DIESEL-JD330-35HP-JIANGDONG-i.123248750.4255848393" TargetMode="External"/><Relationship Id="rId48" Type="http://schemas.openxmlformats.org/officeDocument/2006/relationships/hyperlink" Target="https://distributordiesel.com/product/mesin-diesel-35-hp-jiangdong-jd-330-d" TargetMode="External"/><Relationship Id="rId49" Type="http://schemas.openxmlformats.org/officeDocument/2006/relationships/hyperlink" Target="https://www.tokopedia.com/cetamin/mesin-diesel-jd330-jd-330-35pk-35hp-jiangdong-tanpa-tanki" TargetMode="External"/><Relationship Id="rId50" Type="http://schemas.openxmlformats.org/officeDocument/2006/relationships/hyperlink" Target="https://www.blibli.com/p/mesin-penggerak-jd-330-d-jiangdong-35-hp-diesel-hopper-starter-35-pk/ps--SUG-70033-00409" TargetMode="External"/><Relationship Id="rId51" Type="http://schemas.openxmlformats.org/officeDocument/2006/relationships/hyperlink" Target="https://id.scribd.com/" TargetMode="External"/><Relationship Id="rId52" Type="http://schemas.openxmlformats.org/officeDocument/2006/relationships/hyperlink" Target="https://www.tokopedia.com/find/pompa-submersible-4-inch-5-5hp" TargetMode="External"/><Relationship Id="rId53" Type="http://schemas.openxmlformats.org/officeDocument/2006/relationships/hyperlink" Target="https://www.blibli.com/" TargetMode="External"/><Relationship Id="rId54" Type="http://schemas.openxmlformats.org/officeDocument/2006/relationships/hyperlink" Target="https://sentralpompa.com/" TargetMode="External"/><Relationship Id="rId55" Type="http://schemas.openxmlformats.org/officeDocument/2006/relationships/hyperlink" Target="https://www.lazada.co.id/catalog/?q=kabel%20nym%202x4%20meteran" TargetMode="External"/><Relationship Id="rId56" Type="http://schemas.openxmlformats.org/officeDocument/2006/relationships/hyperlink" Target="https://juraganmaterial.id/" TargetMode="External"/><Relationship Id="rId57" Type="http://schemas.openxmlformats.org/officeDocument/2006/relationships/hyperlink" Target="https://id.scribd.com/" TargetMode="External"/><Relationship Id="rId58" Type="http://schemas.openxmlformats.org/officeDocument/2006/relationships/hyperlink" Target="https://riskargo.com/cek-tarif/ekspedisi-jakarta-jambi" TargetMode="External"/><Relationship Id="rId59" Type="http://schemas.openxmlformats.org/officeDocument/2006/relationships/hyperlink" Target="https://snglogistic.com/tarif-pengiriman-jakarta-jambi.html" TargetMode="External"/><Relationship Id="rId60" Type="http://schemas.openxmlformats.org/officeDocument/2006/relationships/hyperlink" Target="https://insancargo.com/tarif-pengiriman/cargo-darat/ekspedisi-jakarta-muara-tebo" TargetMode="External"/><Relationship Id="rId61" Type="http://schemas.openxmlformats.org/officeDocument/2006/relationships/hyperlink" Target="https://riskargo.com/cek-tarif/ekspedisi-jakarta-jambi" TargetMode="External"/><Relationship Id="rId62" Type="http://schemas.openxmlformats.org/officeDocument/2006/relationships/hyperlink" Target="https://www.tokopedia.com/find/solar-panel-550wp" TargetMode="External"/><Relationship Id="rId63" Type="http://schemas.openxmlformats.org/officeDocument/2006/relationships/hyperlink" Target="https://snglogistic.com/" TargetMode="External"/><Relationship Id="rId64" Type="http://schemas.openxmlformats.org/officeDocument/2006/relationships/hyperlink" Target="https://go-truk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10" min="9" style="1" width="13"/>
    <col collapsed="false" customWidth="true" hidden="false" outlineLevel="0" max="26" min="11" style="1" width="14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1</v>
      </c>
      <c r="C4" s="4" t="s">
        <v>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true" outlineLevel="0" collapsed="false">
      <c r="B5" s="3" t="s">
        <v>3</v>
      </c>
      <c r="C5" s="4" t="s">
        <v>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true" outlineLevel="0" collapsed="false">
      <c r="B6" s="3" t="s">
        <v>5</v>
      </c>
      <c r="C6" s="4" t="s">
        <v>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customFormat="false" ht="15" hidden="false" customHeight="true" outlineLevel="0" collapsed="false">
      <c r="B7" s="3" t="s">
        <v>7</v>
      </c>
      <c r="C7" s="4" t="s">
        <v>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true" outlineLevel="0" collapsed="false">
      <c r="B8" s="3" t="s">
        <v>9</v>
      </c>
      <c r="C8" s="4" t="s">
        <v>10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true" outlineLevel="0" collapsed="false">
      <c r="B9" s="3" t="s">
        <v>11</v>
      </c>
      <c r="C9" s="4" t="s">
        <v>12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customFormat="false" ht="15" hidden="false" customHeight="true" outlineLevel="0" collapsed="false">
      <c r="B10" s="3" t="s">
        <v>13</v>
      </c>
      <c r="C10" s="4" t="s">
        <v>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true" outlineLevel="0" collapsed="false">
      <c r="B13" s="5" t="s">
        <v>15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42" hidden="false" customHeight="true" outlineLevel="0" collapsed="false">
      <c r="B14" s="6" t="s">
        <v>16</v>
      </c>
      <c r="C14" s="6" t="s">
        <v>17</v>
      </c>
      <c r="D14" s="6" t="s">
        <v>18</v>
      </c>
      <c r="E14" s="6" t="s">
        <v>19</v>
      </c>
      <c r="F14" s="6" t="s">
        <v>20</v>
      </c>
      <c r="G14" s="6" t="s">
        <v>21</v>
      </c>
      <c r="H14" s="6" t="s">
        <v>22</v>
      </c>
      <c r="I14" s="6" t="s">
        <v>23</v>
      </c>
      <c r="J14" s="6" t="s">
        <v>24</v>
      </c>
      <c r="K14" s="6" t="s">
        <v>25</v>
      </c>
      <c r="L14" s="6" t="s">
        <v>26</v>
      </c>
      <c r="M14" s="6" t="s">
        <v>27</v>
      </c>
      <c r="N14" s="6" t="s">
        <v>28</v>
      </c>
    </row>
    <row r="15" customFormat="false" ht="21.75" hidden="false" customHeight="true" outlineLevel="0" collapsed="false">
      <c r="B15" s="6" t="s">
        <v>29</v>
      </c>
      <c r="C15" s="6" t="s">
        <v>30</v>
      </c>
      <c r="D15" s="6" t="s">
        <v>31</v>
      </c>
      <c r="E15" s="6" t="n">
        <v>1</v>
      </c>
      <c r="F15" s="7" t="n">
        <f aca="false">L01_Lestari!H20</f>
        <v>28698000</v>
      </c>
      <c r="G15" s="7" t="n">
        <f aca="false">L01_Lestari!H25</f>
        <v>100000</v>
      </c>
      <c r="H15" s="7" t="n">
        <v>0</v>
      </c>
      <c r="I15" s="7" t="n">
        <v>0</v>
      </c>
      <c r="J15" s="7" t="n">
        <f aca="false">L01_Lestari!H31</f>
        <v>27700000</v>
      </c>
      <c r="K15" s="7" t="n">
        <f aca="false">L01_Lestari!H33</f>
        <v>41025000</v>
      </c>
      <c r="L15" s="7" t="n">
        <v>41025000</v>
      </c>
      <c r="M15" s="7" t="n">
        <f aca="false">L01_Lestari!H32</f>
        <v>-15473000</v>
      </c>
      <c r="N15" s="7" t="str">
        <f aca="false">IF(L01_Lestari!$H$32&lt;0,"OVER","OK")</f>
        <v>OVER</v>
      </c>
    </row>
    <row r="16" customFormat="false" ht="21.75" hidden="false" customHeight="true" outlineLevel="0" collapsed="false">
      <c r="B16" s="6" t="s">
        <v>32</v>
      </c>
      <c r="C16" s="6" t="s">
        <v>33</v>
      </c>
      <c r="D16" s="6" t="s">
        <v>34</v>
      </c>
      <c r="E16" s="6" t="n">
        <v>1</v>
      </c>
      <c r="F16" s="7" t="n">
        <f aca="false">L02_TriMakmur!H20</f>
        <v>28698000</v>
      </c>
      <c r="G16" s="7" t="n">
        <f aca="false">L02_TriMakmur!H30</f>
        <v>4091325</v>
      </c>
      <c r="H16" s="7" t="n">
        <f aca="false">L02_TriMakmur!H35</f>
        <v>4500000</v>
      </c>
      <c r="I16" s="7" t="n">
        <f aca="false">L02_TriMakmur!H43</f>
        <v>39990000</v>
      </c>
      <c r="J16" s="7" t="n">
        <v>0</v>
      </c>
      <c r="K16" s="7" t="n">
        <f aca="false">L02_TriMakmur!H45</f>
        <v>75519821</v>
      </c>
      <c r="L16" s="7" t="n">
        <v>75519821</v>
      </c>
      <c r="M16" s="7" t="n">
        <f aca="false">L02_TriMakmur!H44</f>
        <v>-1759504</v>
      </c>
      <c r="N16" s="7" t="str">
        <f aca="false">IF(L02_TriMakmur!$H$44&lt;0,"OVER","OK")</f>
        <v>OVER</v>
      </c>
    </row>
    <row r="17" customFormat="false" ht="21.75" hidden="false" customHeight="true" outlineLevel="0" collapsed="false">
      <c r="B17" s="6" t="s">
        <v>35</v>
      </c>
      <c r="C17" s="6" t="s">
        <v>36</v>
      </c>
      <c r="D17" s="6" t="s">
        <v>37</v>
      </c>
      <c r="E17" s="6" t="n">
        <v>1</v>
      </c>
      <c r="F17" s="7" t="n">
        <f aca="false">L03_Sepakat!H20</f>
        <v>28698000</v>
      </c>
      <c r="G17" s="7" t="n">
        <f aca="false">L03_Sepakat!H25</f>
        <v>100000</v>
      </c>
      <c r="H17" s="7" t="n">
        <v>0</v>
      </c>
      <c r="I17" s="7" t="n">
        <v>0</v>
      </c>
      <c r="J17" s="7" t="n">
        <f aca="false">L03_Sepakat!H32</f>
        <v>9360000</v>
      </c>
      <c r="K17" s="7" t="n">
        <f aca="false">L03_Sepakat!H34</f>
        <v>20011142</v>
      </c>
      <c r="L17" s="7" t="n">
        <v>20011142</v>
      </c>
      <c r="M17" s="7" t="n">
        <f aca="false">L03_Sepakat!H33</f>
        <v>-18146858</v>
      </c>
      <c r="N17" s="7" t="str">
        <f aca="false">IF(L03_Sepakat!$H$33&lt;0,"OVER","OK")</f>
        <v>OVER</v>
      </c>
    </row>
    <row r="18" customFormat="false" ht="21.75" hidden="false" customHeight="true" outlineLevel="0" collapsed="false">
      <c r="B18" s="6" t="s">
        <v>38</v>
      </c>
      <c r="C18" s="6" t="s">
        <v>39</v>
      </c>
      <c r="D18" s="6" t="s">
        <v>34</v>
      </c>
      <c r="E18" s="6" t="n">
        <v>1</v>
      </c>
      <c r="F18" s="7" t="n">
        <f aca="false">L04_HarapanMakmur!H20</f>
        <v>17936250</v>
      </c>
      <c r="G18" s="7" t="n">
        <f aca="false">L04_HarapanMakmur!H30</f>
        <v>4091325</v>
      </c>
      <c r="H18" s="7" t="n">
        <f aca="false">L04_HarapanMakmur!H35</f>
        <v>4500000</v>
      </c>
      <c r="I18" s="7" t="n">
        <f aca="false">L04_HarapanMakmur!H43</f>
        <v>39990000</v>
      </c>
      <c r="J18" s="7" t="n">
        <v>0</v>
      </c>
      <c r="K18" s="7" t="n">
        <f aca="false">L04_HarapanMakmur!H45</f>
        <v>71546115</v>
      </c>
      <c r="L18" s="7" t="n">
        <v>71546115</v>
      </c>
      <c r="M18" s="7" t="n">
        <f aca="false">L04_HarapanMakmur!H44</f>
        <v>5028540</v>
      </c>
      <c r="N18" s="7" t="str">
        <f aca="false">IF(L04_HarapanMakmur!$H$44&lt;0,"OVER","OK")</f>
        <v>OK</v>
      </c>
    </row>
    <row r="19" customFormat="false" ht="21.75" hidden="false" customHeight="true" outlineLevel="0" collapsed="false">
      <c r="B19" s="6" t="s">
        <v>40</v>
      </c>
      <c r="C19" s="6" t="s">
        <v>41</v>
      </c>
      <c r="D19" s="6" t="s">
        <v>34</v>
      </c>
      <c r="E19" s="6" t="n">
        <v>1</v>
      </c>
      <c r="F19" s="7" t="n">
        <f aca="false">L05a_DianBelato!H20</f>
        <v>17936250</v>
      </c>
      <c r="G19" s="7" t="n">
        <f aca="false">L05a_DianBelato!H30</f>
        <v>4091325</v>
      </c>
      <c r="H19" s="7" t="n">
        <f aca="false">L05a_DianBelato!H35</f>
        <v>4500000</v>
      </c>
      <c r="I19" s="7" t="n">
        <f aca="false">L05a_DianBelato!H43</f>
        <v>39990000</v>
      </c>
      <c r="J19" s="7" t="n">
        <v>0</v>
      </c>
      <c r="K19" s="7" t="n">
        <f aca="false">L05a_DianBelato!H45</f>
        <v>77842230</v>
      </c>
      <c r="L19" s="7" t="n">
        <v>77842230</v>
      </c>
      <c r="M19" s="7" t="n">
        <f aca="false">L05a_DianBelato!H44</f>
        <v>11324655</v>
      </c>
      <c r="N19" s="7" t="str">
        <f aca="false">IF(L05a_DianBelato!$H$44&lt;0,"OVER","OK")</f>
        <v>OK</v>
      </c>
    </row>
    <row r="20" customFormat="false" ht="21.75" hidden="false" customHeight="true" outlineLevel="0" collapsed="false">
      <c r="B20" s="6" t="s">
        <v>42</v>
      </c>
      <c r="C20" s="6" t="s">
        <v>43</v>
      </c>
      <c r="D20" s="6" t="s">
        <v>34</v>
      </c>
      <c r="E20" s="6" t="n">
        <v>1</v>
      </c>
      <c r="F20" s="7" t="n">
        <f aca="false">L05b_DianBelato!H20</f>
        <v>17936250</v>
      </c>
      <c r="G20" s="7" t="n">
        <f aca="false">L05b_DianBelato!H30</f>
        <v>4091325</v>
      </c>
      <c r="H20" s="7" t="n">
        <f aca="false">L05b_DianBelato!H35</f>
        <v>4500000</v>
      </c>
      <c r="I20" s="7" t="n">
        <f aca="false">L05b_DianBelato!H43</f>
        <v>39990000</v>
      </c>
      <c r="J20" s="7" t="n">
        <v>0</v>
      </c>
      <c r="K20" s="7" t="n">
        <f aca="false">L05b_DianBelato!H45</f>
        <v>77842230</v>
      </c>
      <c r="L20" s="7" t="n">
        <v>77842230</v>
      </c>
      <c r="M20" s="7" t="n">
        <f aca="false">L05b_DianBelato!H44</f>
        <v>11324655</v>
      </c>
      <c r="N20" s="7" t="str">
        <f aca="false">IF(L05b_DianBelato!$H$44&lt;0,"OVER","OK")</f>
        <v>OK</v>
      </c>
    </row>
    <row r="21" customFormat="false" ht="21.75" hidden="false" customHeight="true" outlineLevel="0" collapsed="false">
      <c r="B21" s="6" t="s">
        <v>44</v>
      </c>
      <c r="C21" s="6" t="s">
        <v>45</v>
      </c>
      <c r="D21" s="6" t="s">
        <v>31</v>
      </c>
      <c r="E21" s="6" t="n">
        <v>1</v>
      </c>
      <c r="F21" s="7" t="n">
        <f aca="false">L06_PayoLebar!H20</f>
        <v>28698000</v>
      </c>
      <c r="G21" s="7" t="n">
        <f aca="false">L06_PayoLebar!H25</f>
        <v>100000</v>
      </c>
      <c r="H21" s="7" t="n">
        <v>0</v>
      </c>
      <c r="I21" s="7" t="n">
        <v>0</v>
      </c>
      <c r="J21" s="7" t="n">
        <f aca="false">L06_PayoLebar!H31</f>
        <v>27700000</v>
      </c>
      <c r="K21" s="7" t="n">
        <f aca="false">L06_PayoLebar!H33</f>
        <v>41250000</v>
      </c>
      <c r="L21" s="7" t="n">
        <v>41250000</v>
      </c>
      <c r="M21" s="7" t="n">
        <f aca="false">L06_PayoLebar!H32</f>
        <v>-15248000</v>
      </c>
      <c r="N21" s="7" t="str">
        <f aca="false">IF(L06_PayoLebar!$H$32&lt;0,"OVER","OK")</f>
        <v>OVER</v>
      </c>
    </row>
    <row r="22" customFormat="false" ht="21.75" hidden="false" customHeight="true" outlineLevel="0" collapsed="false">
      <c r="B22" s="6" t="s">
        <v>46</v>
      </c>
      <c r="C22" s="6" t="s">
        <v>47</v>
      </c>
      <c r="D22" s="6" t="s">
        <v>34</v>
      </c>
      <c r="E22" s="6" t="n">
        <v>1</v>
      </c>
      <c r="F22" s="7" t="n">
        <f aca="false">L07_PudingMas!H20</f>
        <v>24393300</v>
      </c>
      <c r="G22" s="7" t="n">
        <f aca="false">L07_PudingMas!H30</f>
        <v>4091325</v>
      </c>
      <c r="H22" s="7" t="n">
        <f aca="false">L07_PudingMas!H35</f>
        <v>4500000</v>
      </c>
      <c r="I22" s="7" t="n">
        <f aca="false">L07_PudingMas!H43</f>
        <v>39990000</v>
      </c>
      <c r="J22" s="7" t="n">
        <v>0</v>
      </c>
      <c r="K22" s="7" t="n">
        <f aca="false">L07_PudingMas!H45</f>
        <v>74785598</v>
      </c>
      <c r="L22" s="7" t="n">
        <v>74785598</v>
      </c>
      <c r="M22" s="7" t="n">
        <f aca="false">L07_PudingMas!H44</f>
        <v>1810973</v>
      </c>
      <c r="N22" s="7" t="str">
        <f aca="false">IF(L07_PudingMas!$H$44&lt;0,"OVER","OK")</f>
        <v>OK</v>
      </c>
    </row>
    <row r="23" customFormat="false" ht="21.75" hidden="false" customHeight="true" outlineLevel="0" collapsed="false">
      <c r="B23" s="6" t="s">
        <v>48</v>
      </c>
      <c r="C23" s="6" t="s">
        <v>49</v>
      </c>
      <c r="D23" s="6" t="s">
        <v>34</v>
      </c>
      <c r="E23" s="6" t="n">
        <v>1</v>
      </c>
      <c r="F23" s="7" t="n">
        <f aca="false">L08a_TanjungAur!H20</f>
        <v>32285250</v>
      </c>
      <c r="G23" s="7" t="n">
        <f aca="false">L08a_TanjungAur!H30</f>
        <v>4091325</v>
      </c>
      <c r="H23" s="7" t="n">
        <f aca="false">L08a_TanjungAur!H35</f>
        <v>4500000</v>
      </c>
      <c r="I23" s="7" t="n">
        <f aca="false">L08a_TanjungAur!H43</f>
        <v>39990000</v>
      </c>
      <c r="J23" s="7" t="n">
        <v>0</v>
      </c>
      <c r="K23" s="7" t="n">
        <f aca="false">L08a_TanjungAur!H45</f>
        <v>77615423.25</v>
      </c>
      <c r="L23" s="8" t="n">
        <v>77615423.25</v>
      </c>
      <c r="M23" s="7" t="n">
        <f aca="false">L08a_TanjungAur!H44</f>
        <v>-3251151.75</v>
      </c>
      <c r="N23" s="7" t="str">
        <f aca="false">IF(L08a_TanjungAur!$H$44&lt;0,"OVER","OK")</f>
        <v>OVER</v>
      </c>
    </row>
    <row r="24" customFormat="false" ht="21.75" hidden="false" customHeight="true" outlineLevel="0" collapsed="false">
      <c r="B24" s="6" t="s">
        <v>50</v>
      </c>
      <c r="C24" s="6" t="s">
        <v>51</v>
      </c>
      <c r="D24" s="6" t="s">
        <v>34</v>
      </c>
      <c r="E24" s="6" t="n">
        <v>1</v>
      </c>
      <c r="F24" s="7" t="n">
        <f aca="false">L08b_TanjungAur!H20</f>
        <v>32285250</v>
      </c>
      <c r="G24" s="7" t="n">
        <f aca="false">L08b_TanjungAur!H30</f>
        <v>4091325</v>
      </c>
      <c r="H24" s="7" t="n">
        <f aca="false">L08b_TanjungAur!H35</f>
        <v>4500000</v>
      </c>
      <c r="I24" s="7" t="n">
        <f aca="false">L08b_TanjungAur!H43</f>
        <v>39990000</v>
      </c>
      <c r="J24" s="7" t="n">
        <v>0</v>
      </c>
      <c r="K24" s="7" t="n">
        <f aca="false">L08b_TanjungAur!H45</f>
        <v>77615423.25</v>
      </c>
      <c r="L24" s="8" t="n">
        <v>77615423.25</v>
      </c>
      <c r="M24" s="7" t="n">
        <f aca="false">L08b_TanjungAur!H44</f>
        <v>-3251151.75</v>
      </c>
      <c r="N24" s="7" t="str">
        <f aca="false">IF(L08b_TanjungAur!$H$44&lt;0,"OVER","OK")</f>
        <v>OVER</v>
      </c>
    </row>
    <row r="25" customFormat="false" ht="21.75" hidden="false" customHeight="true" outlineLevel="0" collapsed="false">
      <c r="B25" s="6" t="s">
        <v>52</v>
      </c>
      <c r="C25" s="6" t="s">
        <v>53</v>
      </c>
      <c r="D25" s="6" t="s">
        <v>34</v>
      </c>
      <c r="E25" s="6" t="n">
        <v>1</v>
      </c>
      <c r="F25" s="7" t="n">
        <f aca="false">L08c_TanjungAur!H20</f>
        <v>32285250</v>
      </c>
      <c r="G25" s="7" t="n">
        <f aca="false">L08c_TanjungAur!H30</f>
        <v>4091325</v>
      </c>
      <c r="H25" s="7" t="n">
        <f aca="false">L08c_TanjungAur!H35</f>
        <v>4500000</v>
      </c>
      <c r="I25" s="7" t="n">
        <f aca="false">L08c_TanjungAur!H43</f>
        <v>39990000</v>
      </c>
      <c r="J25" s="7" t="n">
        <v>0</v>
      </c>
      <c r="K25" s="7" t="n">
        <f aca="false">L08c_TanjungAur!H45</f>
        <v>77615423.25</v>
      </c>
      <c r="L25" s="8" t="n">
        <v>77615423.25</v>
      </c>
      <c r="M25" s="7" t="n">
        <f aca="false">L08c_TanjungAur!H44</f>
        <v>-3251151.75</v>
      </c>
      <c r="N25" s="7" t="str">
        <f aca="false">IF(L08c_TanjungAur!$H$44&lt;0,"OVER","OK")</f>
        <v>OVER</v>
      </c>
    </row>
    <row r="26" customFormat="false" ht="21.75" hidden="false" customHeight="true" outlineLevel="0" collapsed="false">
      <c r="B26" s="6" t="s">
        <v>54</v>
      </c>
      <c r="C26" s="6" t="s">
        <v>55</v>
      </c>
      <c r="D26" s="6" t="s">
        <v>34</v>
      </c>
      <c r="E26" s="6" t="n">
        <v>1</v>
      </c>
      <c r="F26" s="7" t="n">
        <f aca="false">L09_BerkatMulia!H20</f>
        <v>30132900</v>
      </c>
      <c r="G26" s="7" t="n">
        <f aca="false">L09_BerkatMulia!H30</f>
        <v>4091325</v>
      </c>
      <c r="H26" s="7" t="n">
        <f aca="false">L09_BerkatMulia!H35</f>
        <v>4500000</v>
      </c>
      <c r="I26" s="7" t="n">
        <f aca="false">L09_BerkatMulia!H43</f>
        <v>39990000</v>
      </c>
      <c r="J26" s="7" t="n">
        <v>0</v>
      </c>
      <c r="K26" s="7" t="n">
        <f aca="false">L09_BerkatMulia!H45</f>
        <v>75939562</v>
      </c>
      <c r="L26" s="7" t="n">
        <v>75939562</v>
      </c>
      <c r="M26" s="7" t="n">
        <f aca="false">L09_BerkatMulia!H44</f>
        <v>-2774663</v>
      </c>
      <c r="N26" s="7" t="str">
        <f aca="false">IF(L09_BerkatMulia!$H$44&lt;0,"OVER","OK")</f>
        <v>OVER</v>
      </c>
    </row>
    <row r="27" customFormat="false" ht="27.75" hidden="false" customHeight="true" outlineLevel="0" collapsed="false">
      <c r="B27" s="9" t="s">
        <v>56</v>
      </c>
      <c r="C27" s="9"/>
      <c r="D27" s="9"/>
      <c r="E27" s="9"/>
      <c r="F27" s="10" t="n">
        <f aca="false">SUM(F15:F26)</f>
        <v>319982700</v>
      </c>
      <c r="G27" s="10" t="n">
        <f aca="false">SUM(G15:G26)</f>
        <v>37121925</v>
      </c>
      <c r="H27" s="10" t="n">
        <f aca="false">SUM(H15:H26)</f>
        <v>40500000</v>
      </c>
      <c r="I27" s="10" t="n">
        <f aca="false">SUM(I15:I26)</f>
        <v>359910000</v>
      </c>
      <c r="J27" s="10" t="n">
        <f aca="false">SUM(J15:J26)</f>
        <v>64760000</v>
      </c>
      <c r="K27" s="10" t="n">
        <f aca="false">SUM(K15:K26)</f>
        <v>788607967.75</v>
      </c>
      <c r="L27" s="10" t="n">
        <f aca="false">SUM(L15:L26)</f>
        <v>788607967.75</v>
      </c>
      <c r="M27" s="10" t="n">
        <f aca="false">SUM(M15:M26)</f>
        <v>-33666657.25</v>
      </c>
      <c r="N27" s="7" t="str">
        <f aca="false">IF(COUNTIF(N15:N26,"OVER")&gt;0,"OVER","OK")</f>
        <v>OVER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" hidden="false" customHeight="true" outlineLevel="0" collapsed="false">
      <c r="B30" s="11" t="s">
        <v>57</v>
      </c>
    </row>
    <row r="31" customFormat="false" ht="18" hidden="false" customHeight="true" outlineLevel="0" collapsed="false">
      <c r="B31" s="12" t="s">
        <v>58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customFormat="false" ht="18" hidden="false" customHeight="true" outlineLevel="0" collapsed="false">
      <c r="B32" s="12" t="s">
        <v>59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customFormat="false" ht="18" hidden="false" customHeight="true" outlineLevel="0" collapsed="false">
      <c r="B33" s="12" t="s">
        <v>60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  <row r="34" customFormat="false" ht="18" hidden="false" customHeight="true" outlineLevel="0" collapsed="false">
      <c r="B34" s="12" t="s">
        <v>61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customFormat="false" ht="18" hidden="false" customHeight="true" outlineLevel="0" collapsed="false">
      <c r="B35" s="12" t="s">
        <v>62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customFormat="false" ht="18" hidden="false" customHeight="true" outlineLevel="0" collapsed="false">
      <c r="B36" s="12" t="s">
        <v>63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customFormat="false" ht="18" hidden="false" customHeight="true" outlineLevel="0" collapsed="false">
      <c r="B37" s="12" t="s">
        <v>64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customFormat="false" ht="18" hidden="false" customHeight="true" outlineLevel="0" collapsed="false">
      <c r="B38" s="12" t="s">
        <v>65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</row>
    <row r="39" customFormat="false" ht="18" hidden="false" customHeight="true" outlineLevel="0" collapsed="false">
      <c r="B39" s="12" t="s">
        <v>66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18" hidden="false" customHeight="true" outlineLevel="0" collapsed="false">
      <c r="B40" s="12" t="s">
        <v>67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</row>
    <row r="41" customFormat="false" ht="18" hidden="false" customHeight="true" outlineLevel="0" collapsed="false">
      <c r="B41" s="12" t="s">
        <v>68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</row>
    <row r="42" customFormat="false" ht="18" hidden="false" customHeight="true" outlineLevel="0" collapsed="false">
      <c r="B42" s="12" t="s">
        <v>69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</row>
    <row r="43" customFormat="false" ht="18" hidden="false" customHeight="true" outlineLevel="0" collapsed="false">
      <c r="B43" s="12" t="s">
        <v>70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</row>
    <row r="44" customFormat="false" ht="18" hidden="false" customHeight="true" outlineLevel="0" collapsed="false">
      <c r="B44" s="12" t="s">
        <v>71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customFormat="false" ht="18" hidden="false" customHeight="true" outlineLevel="0" collapsed="false">
      <c r="B45" s="12" t="s">
        <v>72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</row>
    <row r="46" customFormat="false" ht="18" hidden="false" customHeight="true" outlineLevel="0" collapsed="false">
      <c r="B46" s="12" t="s">
        <v>73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</row>
    <row r="47" customFormat="false" ht="18" hidden="false" customHeight="true" outlineLevel="0" collapsed="false">
      <c r="B47" s="12" t="s">
        <v>74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</row>
    <row r="48" customFormat="false" ht="18" hidden="false" customHeight="true" outlineLevel="0" collapsed="false">
      <c r="B48" s="12" t="s">
        <v>75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customFormat="false" ht="18" hidden="false" customHeight="true" outlineLevel="0" collapsed="false">
      <c r="B49" s="12" t="s">
        <v>76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</row>
    <row r="50" customFormat="false" ht="18" hidden="false" customHeight="true" outlineLevel="0" collapsed="false">
      <c r="B50" s="12" t="s">
        <v>77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</row>
    <row r="51" customFormat="false" ht="63" hidden="false" customHeight="true" outlineLevel="0" collapsed="false">
      <c r="B51" s="12" t="s">
        <v>78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96" hidden="false" customHeight="true" outlineLevel="0" collapsed="false">
      <c r="B52" s="12" t="s">
        <v>79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</row>
    <row r="53" customFormat="false" ht="96" hidden="false" customHeight="true" outlineLevel="0" collapsed="false">
      <c r="B53" s="12" t="s">
        <v>80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</row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3">
    <mergeCell ref="B2:N2"/>
    <mergeCell ref="C4:N4"/>
    <mergeCell ref="C5:N5"/>
    <mergeCell ref="C6:N6"/>
    <mergeCell ref="C7:N7"/>
    <mergeCell ref="C8:N8"/>
    <mergeCell ref="C9:N9"/>
    <mergeCell ref="C10:N10"/>
    <mergeCell ref="B13:N13"/>
    <mergeCell ref="B27:E27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1:B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5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60" min="5" style="1" width="3.61"/>
    <col collapsed="false" customWidth="true" hidden="false" outlineLevel="0" max="62" min="61" style="1" width="9"/>
    <col collapsed="false" customWidth="true" hidden="false" outlineLevel="0" max="63" min="63" style="1" width="10"/>
  </cols>
  <sheetData>
    <row r="1" customFormat="false" ht="15" hidden="false" customHeight="false" outlineLevel="0" collapsed="false"/>
    <row r="2" customFormat="false" ht="30" hidden="false" customHeight="true" outlineLevel="0" collapsed="false">
      <c r="B2" s="13" t="s">
        <v>81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customFormat="false" ht="15" hidden="false" customHeight="false" outlineLevel="0" collapsed="false"/>
    <row r="4" customFormat="false" ht="27.75" hidden="false" customHeight="true" outlineLevel="0" collapsed="false">
      <c r="B4" s="3" t="s">
        <v>82</v>
      </c>
      <c r="C4" s="14" t="s">
        <v>83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</row>
    <row r="5" customFormat="false" ht="27.75" hidden="false" customHeight="true" outlineLevel="0" collapsed="false">
      <c r="B5" s="3" t="s">
        <v>84</v>
      </c>
      <c r="C5" s="14" t="s">
        <v>85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</row>
    <row r="6" customFormat="false" ht="27.75" hidden="false" customHeight="true" outlineLevel="0" collapsed="false">
      <c r="B6" s="3" t="s">
        <v>86</v>
      </c>
      <c r="C6" s="14" t="s">
        <v>87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</row>
    <row r="7" customFormat="false" ht="27.75" hidden="false" customHeight="true" outlineLevel="0" collapsed="false">
      <c r="B7" s="3" t="s">
        <v>88</v>
      </c>
      <c r="C7" s="14" t="s">
        <v>89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</row>
    <row r="8" customFormat="false" ht="27.75" hidden="false" customHeight="true" outlineLevel="0" collapsed="false">
      <c r="B8" s="3" t="s">
        <v>90</v>
      </c>
      <c r="C8" s="14" t="s">
        <v>91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</row>
    <row r="9" customFormat="false" ht="27.75" hidden="false" customHeight="true" outlineLevel="0" collapsed="false">
      <c r="B9" s="3" t="s">
        <v>92</v>
      </c>
      <c r="C9" s="14" t="s">
        <v>93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</row>
    <row r="10" customFormat="false" ht="15" hidden="false" customHeight="false" outlineLevel="0" collapsed="false"/>
    <row r="11" customFormat="false" ht="21.75" hidden="false" customHeight="true" outlineLevel="0" collapsed="false">
      <c r="B11" s="15" t="s">
        <v>94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</row>
    <row r="12" customFormat="false" ht="16.5" hidden="false" customHeight="true" outlineLevel="0" collapsed="false">
      <c r="B12" s="16" t="s">
        <v>95</v>
      </c>
      <c r="C12" s="16"/>
      <c r="D12" s="16"/>
      <c r="E12" s="17" t="s">
        <v>96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 t="s">
        <v>97</v>
      </c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 t="s">
        <v>98</v>
      </c>
      <c r="BC12" s="17"/>
      <c r="BD12" s="17"/>
      <c r="BE12" s="17"/>
      <c r="BF12" s="17"/>
      <c r="BG12" s="17"/>
      <c r="BH12" s="17"/>
      <c r="BI12" s="17" t="s">
        <v>99</v>
      </c>
      <c r="BJ12" s="17"/>
      <c r="BK12" s="17"/>
    </row>
    <row r="13" customFormat="false" ht="30" hidden="false" customHeight="true" outlineLevel="0" collapsed="false">
      <c r="B13" s="18" t="s">
        <v>16</v>
      </c>
      <c r="C13" s="18" t="s">
        <v>100</v>
      </c>
      <c r="D13" s="18" t="s">
        <v>101</v>
      </c>
      <c r="E13" s="19" t="n">
        <v>13</v>
      </c>
      <c r="F13" s="19" t="n">
        <v>14</v>
      </c>
      <c r="G13" s="19" t="n">
        <v>15</v>
      </c>
      <c r="H13" s="19" t="n">
        <v>16</v>
      </c>
      <c r="I13" s="19" t="n">
        <v>17</v>
      </c>
      <c r="J13" s="19" t="n">
        <v>18</v>
      </c>
      <c r="K13" s="19" t="n">
        <v>19</v>
      </c>
      <c r="L13" s="19" t="n">
        <v>20</v>
      </c>
      <c r="M13" s="19" t="n">
        <v>21</v>
      </c>
      <c r="N13" s="19" t="n">
        <v>22</v>
      </c>
      <c r="O13" s="19" t="n">
        <v>23</v>
      </c>
      <c r="P13" s="19" t="n">
        <v>24</v>
      </c>
      <c r="Q13" s="19" t="n">
        <v>25</v>
      </c>
      <c r="R13" s="19" t="n">
        <v>26</v>
      </c>
      <c r="S13" s="19" t="n">
        <v>27</v>
      </c>
      <c r="T13" s="19" t="n">
        <v>28</v>
      </c>
      <c r="U13" s="19" t="n">
        <v>29</v>
      </c>
      <c r="V13" s="19" t="n">
        <v>30</v>
      </c>
      <c r="W13" s="19" t="n">
        <v>1</v>
      </c>
      <c r="X13" s="19" t="n">
        <v>2</v>
      </c>
      <c r="Y13" s="19" t="n">
        <v>3</v>
      </c>
      <c r="Z13" s="19" t="n">
        <v>4</v>
      </c>
      <c r="AA13" s="19" t="n">
        <v>5</v>
      </c>
      <c r="AB13" s="19" t="n">
        <v>6</v>
      </c>
      <c r="AC13" s="19" t="n">
        <v>7</v>
      </c>
      <c r="AD13" s="19" t="n">
        <v>8</v>
      </c>
      <c r="AE13" s="19" t="n">
        <v>9</v>
      </c>
      <c r="AF13" s="19" t="n">
        <v>10</v>
      </c>
      <c r="AG13" s="19" t="n">
        <v>11</v>
      </c>
      <c r="AH13" s="19" t="n">
        <v>12</v>
      </c>
      <c r="AI13" s="19" t="n">
        <v>13</v>
      </c>
      <c r="AJ13" s="19" t="n">
        <v>14</v>
      </c>
      <c r="AK13" s="19" t="n">
        <v>15</v>
      </c>
      <c r="AL13" s="19" t="n">
        <v>16</v>
      </c>
      <c r="AM13" s="19" t="n">
        <v>17</v>
      </c>
      <c r="AN13" s="19" t="n">
        <v>18</v>
      </c>
      <c r="AO13" s="19" t="n">
        <v>19</v>
      </c>
      <c r="AP13" s="19" t="n">
        <v>20</v>
      </c>
      <c r="AQ13" s="19" t="n">
        <v>21</v>
      </c>
      <c r="AR13" s="19" t="n">
        <v>22</v>
      </c>
      <c r="AS13" s="19" t="n">
        <v>23</v>
      </c>
      <c r="AT13" s="19" t="n">
        <v>24</v>
      </c>
      <c r="AU13" s="19" t="n">
        <v>25</v>
      </c>
      <c r="AV13" s="19" t="n">
        <v>26</v>
      </c>
      <c r="AW13" s="19" t="n">
        <v>27</v>
      </c>
      <c r="AX13" s="19" t="n">
        <v>28</v>
      </c>
      <c r="AY13" s="19" t="n">
        <v>29</v>
      </c>
      <c r="AZ13" s="19" t="n">
        <v>30</v>
      </c>
      <c r="BA13" s="19" t="n">
        <v>31</v>
      </c>
      <c r="BB13" s="19" t="n">
        <v>1</v>
      </c>
      <c r="BC13" s="19" t="n">
        <v>2</v>
      </c>
      <c r="BD13" s="19" t="n">
        <v>3</v>
      </c>
      <c r="BE13" s="19" t="n">
        <v>4</v>
      </c>
      <c r="BF13" s="19" t="n">
        <v>5</v>
      </c>
      <c r="BG13" s="19" t="n">
        <v>6</v>
      </c>
      <c r="BH13" s="19" t="n">
        <v>7</v>
      </c>
      <c r="BI13" s="18" t="s">
        <v>102</v>
      </c>
      <c r="BJ13" s="18" t="s">
        <v>103</v>
      </c>
      <c r="BK13" s="18" t="s">
        <v>104</v>
      </c>
    </row>
    <row r="14" customFormat="false" ht="16.5" hidden="false" customHeight="true" outlineLevel="0" collapsed="false">
      <c r="B14" s="20" t="n">
        <v>1</v>
      </c>
      <c r="C14" s="21" t="s">
        <v>105</v>
      </c>
      <c r="D14" s="22" t="s">
        <v>106</v>
      </c>
      <c r="E14" s="23"/>
      <c r="F14" s="23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5" t="n">
        <v>1</v>
      </c>
      <c r="BJ14" s="25" t="n">
        <v>2</v>
      </c>
      <c r="BK14" s="25" t="n">
        <v>2</v>
      </c>
    </row>
    <row r="15" customFormat="false" ht="16.5" hidden="false" customHeight="true" outlineLevel="0" collapsed="false">
      <c r="B15" s="20"/>
      <c r="C15" s="20"/>
      <c r="D15" s="22" t="s">
        <v>107</v>
      </c>
      <c r="E15" s="24"/>
      <c r="F15" s="24"/>
      <c r="G15" s="26"/>
      <c r="H15" s="26"/>
      <c r="I15" s="26"/>
      <c r="J15" s="26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5" t="n">
        <v>3</v>
      </c>
      <c r="BJ15" s="25" t="n">
        <v>6</v>
      </c>
      <c r="BK15" s="25" t="n">
        <v>4</v>
      </c>
    </row>
    <row r="16" customFormat="false" ht="16.5" hidden="false" customHeight="true" outlineLevel="0" collapsed="false">
      <c r="B16" s="20"/>
      <c r="C16" s="20"/>
      <c r="D16" s="22" t="s">
        <v>108</v>
      </c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7"/>
      <c r="AH16" s="27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5" t="n">
        <v>29</v>
      </c>
      <c r="BJ16" s="25" t="n">
        <v>30</v>
      </c>
      <c r="BK16" s="25" t="n">
        <v>2</v>
      </c>
    </row>
    <row r="17" customFormat="false" ht="16.5" hidden="false" customHeight="true" outlineLevel="0" collapsed="false">
      <c r="B17" s="20" t="n">
        <v>2</v>
      </c>
      <c r="C17" s="21" t="s">
        <v>109</v>
      </c>
      <c r="D17" s="22" t="s">
        <v>106</v>
      </c>
      <c r="E17" s="24"/>
      <c r="F17" s="24"/>
      <c r="G17" s="23"/>
      <c r="H17" s="23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5" t="n">
        <v>3</v>
      </c>
      <c r="BJ17" s="25" t="n">
        <v>4</v>
      </c>
      <c r="BK17" s="25" t="n">
        <v>2</v>
      </c>
    </row>
    <row r="18" customFormat="false" ht="16.5" hidden="false" customHeight="true" outlineLevel="0" collapsed="false">
      <c r="B18" s="20"/>
      <c r="C18" s="20"/>
      <c r="D18" s="22" t="s">
        <v>107</v>
      </c>
      <c r="E18" s="24"/>
      <c r="F18" s="24"/>
      <c r="G18" s="24"/>
      <c r="H18" s="24"/>
      <c r="I18" s="24"/>
      <c r="J18" s="24"/>
      <c r="K18" s="26"/>
      <c r="L18" s="26"/>
      <c r="M18" s="26"/>
      <c r="N18" s="26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5" t="n">
        <v>7</v>
      </c>
      <c r="BJ18" s="25" t="n">
        <v>10</v>
      </c>
      <c r="BK18" s="25" t="n">
        <v>4</v>
      </c>
    </row>
    <row r="19" customFormat="false" ht="16.5" hidden="false" customHeight="true" outlineLevel="0" collapsed="false">
      <c r="B19" s="20"/>
      <c r="C19" s="20"/>
      <c r="D19" s="22" t="s">
        <v>108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7"/>
      <c r="AJ19" s="27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5" t="n">
        <v>31</v>
      </c>
      <c r="BJ19" s="25" t="n">
        <v>32</v>
      </c>
      <c r="BK19" s="25" t="n">
        <v>2</v>
      </c>
    </row>
    <row r="20" customFormat="false" ht="16.5" hidden="false" customHeight="true" outlineLevel="0" collapsed="false">
      <c r="B20" s="20" t="n">
        <v>3</v>
      </c>
      <c r="C20" s="21" t="s">
        <v>110</v>
      </c>
      <c r="D20" s="22" t="s">
        <v>106</v>
      </c>
      <c r="E20" s="24"/>
      <c r="F20" s="24"/>
      <c r="G20" s="24"/>
      <c r="H20" s="24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5" t="n">
        <v>5</v>
      </c>
      <c r="BJ20" s="25" t="n">
        <v>6</v>
      </c>
      <c r="BK20" s="25" t="n">
        <v>2</v>
      </c>
    </row>
    <row r="21" customFormat="false" ht="16.5" hidden="false" customHeight="true" outlineLevel="0" collapsed="false">
      <c r="B21" s="20"/>
      <c r="C21" s="20"/>
      <c r="D21" s="22" t="s">
        <v>107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6"/>
      <c r="P21" s="26"/>
      <c r="Q21" s="26"/>
      <c r="R21" s="26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5" t="n">
        <v>11</v>
      </c>
      <c r="BJ21" s="25" t="n">
        <v>14</v>
      </c>
      <c r="BK21" s="25" t="n">
        <v>4</v>
      </c>
    </row>
    <row r="22" customFormat="false" ht="16.5" hidden="false" customHeight="true" outlineLevel="0" collapsed="false">
      <c r="B22" s="20"/>
      <c r="C22" s="20"/>
      <c r="D22" s="22" t="s">
        <v>108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7"/>
      <c r="AL22" s="27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5" t="n">
        <v>33</v>
      </c>
      <c r="BJ22" s="25" t="n">
        <v>34</v>
      </c>
      <c r="BK22" s="25" t="n">
        <v>2</v>
      </c>
    </row>
    <row r="23" customFormat="false" ht="16.5" hidden="false" customHeight="true" outlineLevel="0" collapsed="false">
      <c r="B23" s="20" t="n">
        <v>4</v>
      </c>
      <c r="C23" s="21" t="s">
        <v>111</v>
      </c>
      <c r="D23" s="22" t="s">
        <v>106</v>
      </c>
      <c r="E23" s="24"/>
      <c r="F23" s="24"/>
      <c r="G23" s="24"/>
      <c r="H23" s="24"/>
      <c r="I23" s="24"/>
      <c r="J23" s="24"/>
      <c r="K23" s="23"/>
      <c r="L23" s="23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5" t="n">
        <v>7</v>
      </c>
      <c r="BJ23" s="25" t="n">
        <v>8</v>
      </c>
      <c r="BK23" s="25" t="n">
        <v>2</v>
      </c>
    </row>
    <row r="24" customFormat="false" ht="16.5" hidden="false" customHeight="true" outlineLevel="0" collapsed="false">
      <c r="B24" s="20"/>
      <c r="C24" s="20"/>
      <c r="D24" s="22" t="s">
        <v>107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6"/>
      <c r="T24" s="26"/>
      <c r="U24" s="26"/>
      <c r="V24" s="26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5" t="n">
        <v>15</v>
      </c>
      <c r="BJ24" s="25" t="n">
        <v>18</v>
      </c>
      <c r="BK24" s="25" t="n">
        <v>4</v>
      </c>
    </row>
    <row r="25" customFormat="false" ht="16.5" hidden="false" customHeight="true" outlineLevel="0" collapsed="false">
      <c r="B25" s="20"/>
      <c r="C25" s="20"/>
      <c r="D25" s="22" t="s">
        <v>112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8"/>
      <c r="AN25" s="28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5" t="n">
        <v>35</v>
      </c>
      <c r="BJ25" s="25" t="n">
        <v>36</v>
      </c>
      <c r="BK25" s="25" t="n">
        <v>2</v>
      </c>
    </row>
    <row r="26" customFormat="false" ht="16.5" hidden="false" customHeight="true" outlineLevel="0" collapsed="false">
      <c r="B26" s="20" t="n">
        <v>5</v>
      </c>
      <c r="C26" s="21" t="s">
        <v>113</v>
      </c>
      <c r="D26" s="22" t="s">
        <v>106</v>
      </c>
      <c r="E26" s="24"/>
      <c r="F26" s="24"/>
      <c r="G26" s="24"/>
      <c r="H26" s="24"/>
      <c r="I26" s="24"/>
      <c r="J26" s="24"/>
      <c r="K26" s="24"/>
      <c r="L26" s="24"/>
      <c r="M26" s="23"/>
      <c r="N26" s="23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5" t="n">
        <v>9</v>
      </c>
      <c r="BJ26" s="25" t="n">
        <v>10</v>
      </c>
      <c r="BK26" s="25" t="n">
        <v>2</v>
      </c>
    </row>
    <row r="27" customFormat="false" ht="16.5" hidden="false" customHeight="true" outlineLevel="0" collapsed="false">
      <c r="B27" s="20"/>
      <c r="C27" s="20"/>
      <c r="D27" s="22" t="s">
        <v>107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6"/>
      <c r="X27" s="26"/>
      <c r="Y27" s="26"/>
      <c r="Z27" s="26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5" t="n">
        <v>19</v>
      </c>
      <c r="BJ27" s="25" t="n">
        <v>22</v>
      </c>
      <c r="BK27" s="25" t="n">
        <v>4</v>
      </c>
    </row>
    <row r="28" customFormat="false" ht="16.5" hidden="false" customHeight="true" outlineLevel="0" collapsed="false">
      <c r="B28" s="20"/>
      <c r="C28" s="20"/>
      <c r="D28" s="22" t="s">
        <v>112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8"/>
      <c r="AP28" s="28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5" t="n">
        <v>37</v>
      </c>
      <c r="BJ28" s="25" t="n">
        <v>38</v>
      </c>
      <c r="BK28" s="25" t="n">
        <v>2</v>
      </c>
    </row>
    <row r="29" customFormat="false" ht="16.5" hidden="false" customHeight="true" outlineLevel="0" collapsed="false">
      <c r="B29" s="20" t="n">
        <v>6</v>
      </c>
      <c r="C29" s="21" t="s">
        <v>114</v>
      </c>
      <c r="D29" s="22" t="s">
        <v>106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3"/>
      <c r="P29" s="23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5" t="n">
        <v>11</v>
      </c>
      <c r="BJ29" s="25" t="n">
        <v>12</v>
      </c>
      <c r="BK29" s="25" t="n">
        <v>2</v>
      </c>
    </row>
    <row r="30" customFormat="false" ht="16.5" hidden="false" customHeight="true" outlineLevel="0" collapsed="false">
      <c r="B30" s="20"/>
      <c r="C30" s="20"/>
      <c r="D30" s="22" t="s">
        <v>107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6"/>
      <c r="AB30" s="26"/>
      <c r="AC30" s="26"/>
      <c r="AD30" s="26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5" t="n">
        <v>23</v>
      </c>
      <c r="BJ30" s="25" t="n">
        <v>26</v>
      </c>
      <c r="BK30" s="25" t="n">
        <v>4</v>
      </c>
    </row>
    <row r="31" customFormat="false" ht="16.5" hidden="false" customHeight="true" outlineLevel="0" collapsed="false">
      <c r="B31" s="20"/>
      <c r="C31" s="20"/>
      <c r="D31" s="22" t="s">
        <v>112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8"/>
      <c r="AR31" s="28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5" t="n">
        <v>39</v>
      </c>
      <c r="BJ31" s="25" t="n">
        <v>40</v>
      </c>
      <c r="BK31" s="25" t="n">
        <v>2</v>
      </c>
    </row>
    <row r="32" customFormat="false" ht="16.5" hidden="false" customHeight="true" outlineLevel="0" collapsed="false">
      <c r="B32" s="20" t="n">
        <v>7</v>
      </c>
      <c r="C32" s="21" t="s">
        <v>115</v>
      </c>
      <c r="D32" s="22" t="s">
        <v>106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3"/>
      <c r="R32" s="23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5" t="n">
        <v>13</v>
      </c>
      <c r="BJ32" s="25" t="n">
        <v>14</v>
      </c>
      <c r="BK32" s="25" t="n">
        <v>2</v>
      </c>
    </row>
    <row r="33" customFormat="false" ht="16.5" hidden="false" customHeight="true" outlineLevel="0" collapsed="false">
      <c r="B33" s="20"/>
      <c r="C33" s="20"/>
      <c r="D33" s="22" t="s">
        <v>107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6"/>
      <c r="AF33" s="26"/>
      <c r="AG33" s="26"/>
      <c r="AH33" s="26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5" t="n">
        <v>27</v>
      </c>
      <c r="BJ33" s="25" t="n">
        <v>30</v>
      </c>
      <c r="BK33" s="25" t="n">
        <v>4</v>
      </c>
    </row>
    <row r="34" customFormat="false" ht="16.5" hidden="false" customHeight="true" outlineLevel="0" collapsed="false">
      <c r="B34" s="20"/>
      <c r="C34" s="20"/>
      <c r="D34" s="22" t="s">
        <v>112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8"/>
      <c r="AT34" s="28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5" t="n">
        <v>41</v>
      </c>
      <c r="BJ34" s="25" t="n">
        <v>42</v>
      </c>
      <c r="BK34" s="25" t="n">
        <v>2</v>
      </c>
    </row>
    <row r="35" customFormat="false" ht="16.5" hidden="false" customHeight="true" outlineLevel="0" collapsed="false">
      <c r="B35" s="20" t="n">
        <v>8</v>
      </c>
      <c r="C35" s="21" t="s">
        <v>116</v>
      </c>
      <c r="D35" s="22" t="s">
        <v>106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3"/>
      <c r="T35" s="23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5" t="n">
        <v>15</v>
      </c>
      <c r="BJ35" s="25" t="n">
        <v>16</v>
      </c>
      <c r="BK35" s="25" t="n">
        <v>2</v>
      </c>
    </row>
    <row r="36" customFormat="false" ht="16.5" hidden="false" customHeight="true" outlineLevel="0" collapsed="false">
      <c r="B36" s="20"/>
      <c r="C36" s="20"/>
      <c r="D36" s="22" t="s">
        <v>107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6"/>
      <c r="AJ36" s="26"/>
      <c r="AK36" s="26"/>
      <c r="AL36" s="26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5" t="n">
        <v>31</v>
      </c>
      <c r="BJ36" s="25" t="n">
        <v>34</v>
      </c>
      <c r="BK36" s="25" t="n">
        <v>4</v>
      </c>
    </row>
    <row r="37" customFormat="false" ht="16.5" hidden="false" customHeight="true" outlineLevel="0" collapsed="false">
      <c r="B37" s="20"/>
      <c r="C37" s="20"/>
      <c r="D37" s="22" t="s">
        <v>112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8"/>
      <c r="AV37" s="28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5" t="n">
        <v>43</v>
      </c>
      <c r="BJ37" s="25" t="n">
        <v>44</v>
      </c>
      <c r="BK37" s="25" t="n">
        <v>2</v>
      </c>
    </row>
    <row r="38" customFormat="false" ht="16.5" hidden="false" customHeight="true" outlineLevel="0" collapsed="false">
      <c r="B38" s="20" t="n">
        <v>9</v>
      </c>
      <c r="C38" s="21" t="s">
        <v>117</v>
      </c>
      <c r="D38" s="22" t="s">
        <v>106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3"/>
      <c r="V38" s="23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5" t="n">
        <v>17</v>
      </c>
      <c r="BJ38" s="25" t="n">
        <v>18</v>
      </c>
      <c r="BK38" s="25" t="n">
        <v>2</v>
      </c>
    </row>
    <row r="39" customFormat="false" ht="16.5" hidden="false" customHeight="true" outlineLevel="0" collapsed="false">
      <c r="B39" s="20"/>
      <c r="C39" s="20"/>
      <c r="D39" s="22" t="s">
        <v>107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6"/>
      <c r="AN39" s="26"/>
      <c r="AO39" s="26"/>
      <c r="AP39" s="26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5" t="n">
        <v>35</v>
      </c>
      <c r="BJ39" s="25" t="n">
        <v>38</v>
      </c>
      <c r="BK39" s="25" t="n">
        <v>4</v>
      </c>
    </row>
    <row r="40" customFormat="false" ht="16.5" hidden="false" customHeight="true" outlineLevel="0" collapsed="false">
      <c r="B40" s="20"/>
      <c r="C40" s="20"/>
      <c r="D40" s="22" t="s">
        <v>112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8"/>
      <c r="AX40" s="28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5" t="n">
        <v>45</v>
      </c>
      <c r="BJ40" s="25" t="n">
        <v>46</v>
      </c>
      <c r="BK40" s="25" t="n">
        <v>2</v>
      </c>
    </row>
    <row r="41" customFormat="false" ht="16.5" hidden="false" customHeight="true" outlineLevel="0" collapsed="false">
      <c r="B41" s="20" t="n">
        <v>10</v>
      </c>
      <c r="C41" s="21" t="s">
        <v>118</v>
      </c>
      <c r="D41" s="22" t="s">
        <v>106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3"/>
      <c r="X41" s="23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5" t="n">
        <v>19</v>
      </c>
      <c r="BJ41" s="25" t="n">
        <v>20</v>
      </c>
      <c r="BK41" s="25" t="n">
        <v>2</v>
      </c>
    </row>
    <row r="42" customFormat="false" ht="16.5" hidden="false" customHeight="true" outlineLevel="0" collapsed="false">
      <c r="B42" s="20"/>
      <c r="C42" s="20"/>
      <c r="D42" s="22" t="s">
        <v>107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6"/>
      <c r="AR42" s="26"/>
      <c r="AS42" s="26"/>
      <c r="AT42" s="26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5" t="n">
        <v>39</v>
      </c>
      <c r="BJ42" s="25" t="n">
        <v>42</v>
      </c>
      <c r="BK42" s="25" t="n">
        <v>4</v>
      </c>
    </row>
    <row r="43" customFormat="false" ht="16.5" hidden="false" customHeight="true" outlineLevel="0" collapsed="false">
      <c r="B43" s="20"/>
      <c r="C43" s="20"/>
      <c r="D43" s="22" t="s">
        <v>112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8"/>
      <c r="AZ43" s="28"/>
      <c r="BA43" s="24"/>
      <c r="BB43" s="24"/>
      <c r="BC43" s="24"/>
      <c r="BD43" s="24"/>
      <c r="BE43" s="24"/>
      <c r="BF43" s="24"/>
      <c r="BG43" s="24"/>
      <c r="BH43" s="24"/>
      <c r="BI43" s="25" t="n">
        <v>47</v>
      </c>
      <c r="BJ43" s="25" t="n">
        <v>48</v>
      </c>
      <c r="BK43" s="25" t="n">
        <v>2</v>
      </c>
    </row>
    <row r="44" customFormat="false" ht="16.5" hidden="false" customHeight="true" outlineLevel="0" collapsed="false">
      <c r="B44" s="20" t="n">
        <v>11</v>
      </c>
      <c r="C44" s="21" t="s">
        <v>119</v>
      </c>
      <c r="D44" s="22" t="s">
        <v>106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3"/>
      <c r="Z44" s="23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5" t="n">
        <v>21</v>
      </c>
      <c r="BJ44" s="25" t="n">
        <v>22</v>
      </c>
      <c r="BK44" s="25" t="n">
        <v>2</v>
      </c>
    </row>
    <row r="45" customFormat="false" ht="16.5" hidden="false" customHeight="true" outlineLevel="0" collapsed="false">
      <c r="B45" s="20"/>
      <c r="C45" s="20"/>
      <c r="D45" s="22" t="s">
        <v>107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6"/>
      <c r="AV45" s="26"/>
      <c r="AW45" s="26"/>
      <c r="AX45" s="26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5" t="n">
        <v>43</v>
      </c>
      <c r="BJ45" s="25" t="n">
        <v>46</v>
      </c>
      <c r="BK45" s="25" t="n">
        <v>4</v>
      </c>
    </row>
    <row r="46" customFormat="false" ht="16.5" hidden="false" customHeight="true" outlineLevel="0" collapsed="false">
      <c r="B46" s="20"/>
      <c r="C46" s="20"/>
      <c r="D46" s="22" t="s">
        <v>112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8"/>
      <c r="BB46" s="28"/>
      <c r="BC46" s="24"/>
      <c r="BD46" s="24"/>
      <c r="BE46" s="24"/>
      <c r="BF46" s="24"/>
      <c r="BG46" s="24"/>
      <c r="BH46" s="24"/>
      <c r="BI46" s="25" t="n">
        <v>49</v>
      </c>
      <c r="BJ46" s="25" t="n">
        <v>50</v>
      </c>
      <c r="BK46" s="25" t="n">
        <v>2</v>
      </c>
    </row>
    <row r="47" customFormat="false" ht="16.5" hidden="false" customHeight="true" outlineLevel="0" collapsed="false">
      <c r="B47" s="20" t="n">
        <v>12</v>
      </c>
      <c r="C47" s="21" t="s">
        <v>120</v>
      </c>
      <c r="D47" s="22" t="s">
        <v>106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3"/>
      <c r="AB47" s="23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5" t="n">
        <v>23</v>
      </c>
      <c r="BJ47" s="25" t="n">
        <v>24</v>
      </c>
      <c r="BK47" s="25" t="n">
        <v>2</v>
      </c>
    </row>
    <row r="48" customFormat="false" ht="16.5" hidden="false" customHeight="true" outlineLevel="0" collapsed="false">
      <c r="B48" s="20"/>
      <c r="C48" s="20"/>
      <c r="D48" s="22" t="s">
        <v>107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6"/>
      <c r="AZ48" s="26"/>
      <c r="BA48" s="26"/>
      <c r="BB48" s="26"/>
      <c r="BC48" s="24"/>
      <c r="BD48" s="24"/>
      <c r="BE48" s="24"/>
      <c r="BF48" s="24"/>
      <c r="BG48" s="24"/>
      <c r="BH48" s="24"/>
      <c r="BI48" s="25" t="n">
        <v>47</v>
      </c>
      <c r="BJ48" s="25" t="n">
        <v>50</v>
      </c>
      <c r="BK48" s="25" t="n">
        <v>4</v>
      </c>
    </row>
    <row r="49" customFormat="false" ht="16.5" hidden="false" customHeight="true" outlineLevel="0" collapsed="false">
      <c r="B49" s="20"/>
      <c r="C49" s="20"/>
      <c r="D49" s="22" t="s">
        <v>112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8"/>
      <c r="BD49" s="28"/>
      <c r="BE49" s="24"/>
      <c r="BF49" s="24"/>
      <c r="BG49" s="24"/>
      <c r="BH49" s="24"/>
      <c r="BI49" s="25" t="n">
        <v>51</v>
      </c>
      <c r="BJ49" s="25" t="n">
        <v>52</v>
      </c>
      <c r="BK49" s="25" t="n">
        <v>2</v>
      </c>
    </row>
    <row r="50" customFormat="false" ht="15" hidden="false" customHeight="false" outlineLevel="0" collapsed="false"/>
    <row r="51" customFormat="false" ht="21.75" hidden="false" customHeight="true" outlineLevel="0" collapsed="false">
      <c r="B51" s="15" t="s">
        <v>121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</row>
    <row r="52" customFormat="false" ht="18" hidden="false" customHeight="true" outlineLevel="0" collapsed="false">
      <c r="B52" s="23"/>
      <c r="C52" s="29" t="s">
        <v>122</v>
      </c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</row>
    <row r="53" customFormat="false" ht="18" hidden="false" customHeight="true" outlineLevel="0" collapsed="false">
      <c r="B53" s="26"/>
      <c r="C53" s="29" t="s">
        <v>123</v>
      </c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 customFormat="false" ht="18" hidden="false" customHeight="true" outlineLevel="0" collapsed="false">
      <c r="B54" s="27"/>
      <c r="C54" s="29" t="s">
        <v>124</v>
      </c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</row>
    <row r="55" customFormat="false" ht="18" hidden="false" customHeight="true" outlineLevel="0" collapsed="false">
      <c r="B55" s="28"/>
      <c r="C55" s="29" t="s">
        <v>125</v>
      </c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 customFormat="false" ht="15" hidden="false" customHeight="false" outlineLevel="0" collapsed="false"/>
    <row r="57" customFormat="false" ht="25.5" hidden="false" customHeight="true" outlineLevel="0" collapsed="false">
      <c r="B57" s="21" t="s">
        <v>126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</row>
    <row r="58" customFormat="false" ht="25.5" hidden="false" customHeight="true" outlineLevel="0" collapsed="false">
      <c r="B58" s="21" t="s">
        <v>127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</row>
    <row r="59" customFormat="false" ht="25.5" hidden="false" customHeight="true" outlineLevel="0" collapsed="false">
      <c r="B59" s="21" t="s">
        <v>128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</row>
    <row r="60" customFormat="false" ht="25.5" hidden="false" customHeight="true" outlineLevel="0" collapsed="false">
      <c r="B60" s="21" t="s">
        <v>129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</row>
    <row r="61" customFormat="false" ht="25.5" hidden="false" customHeight="true" outlineLevel="0" collapsed="false">
      <c r="B61" s="21" t="s">
        <v>130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</row>
  </sheetData>
  <mergeCells count="47">
    <mergeCell ref="B2:BK2"/>
    <mergeCell ref="C4:BK4"/>
    <mergeCell ref="C5:BK5"/>
    <mergeCell ref="C6:BK6"/>
    <mergeCell ref="C7:BK7"/>
    <mergeCell ref="C8:BK8"/>
    <mergeCell ref="C9:BK9"/>
    <mergeCell ref="B11:BK11"/>
    <mergeCell ref="B12:D12"/>
    <mergeCell ref="E12:V12"/>
    <mergeCell ref="W12:BA12"/>
    <mergeCell ref="BB12:BH12"/>
    <mergeCell ref="BI12:BK12"/>
    <mergeCell ref="B14:B16"/>
    <mergeCell ref="C14:C16"/>
    <mergeCell ref="B17:B19"/>
    <mergeCell ref="C17:C19"/>
    <mergeCell ref="B20:B22"/>
    <mergeCell ref="C20:C22"/>
    <mergeCell ref="B23:B25"/>
    <mergeCell ref="C23:C25"/>
    <mergeCell ref="B26:B28"/>
    <mergeCell ref="C26:C28"/>
    <mergeCell ref="B29:B31"/>
    <mergeCell ref="C29:C31"/>
    <mergeCell ref="B32:B34"/>
    <mergeCell ref="C32:C34"/>
    <mergeCell ref="B35:B37"/>
    <mergeCell ref="C35:C37"/>
    <mergeCell ref="B38:B40"/>
    <mergeCell ref="C38:C40"/>
    <mergeCell ref="B41:B43"/>
    <mergeCell ref="C41:C43"/>
    <mergeCell ref="B44:B46"/>
    <mergeCell ref="C44:C46"/>
    <mergeCell ref="B47:B49"/>
    <mergeCell ref="C47:C49"/>
    <mergeCell ref="B51:BK51"/>
    <mergeCell ref="C52:X52"/>
    <mergeCell ref="C53:X53"/>
    <mergeCell ref="C54:X54"/>
    <mergeCell ref="C55:X55"/>
    <mergeCell ref="B57:BK57"/>
    <mergeCell ref="B58:BK58"/>
    <mergeCell ref="B59:BK59"/>
    <mergeCell ref="B60:BK60"/>
    <mergeCell ref="B61:BK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26" min="8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131</v>
      </c>
      <c r="C2" s="2"/>
      <c r="D2" s="2"/>
      <c r="E2" s="2"/>
      <c r="F2" s="2"/>
      <c r="G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82</v>
      </c>
      <c r="C4" s="30" t="s">
        <v>132</v>
      </c>
      <c r="D4" s="30"/>
      <c r="E4" s="30"/>
      <c r="F4" s="30"/>
      <c r="G4" s="30"/>
    </row>
    <row r="5" customFormat="false" ht="15" hidden="false" customHeight="true" outlineLevel="0" collapsed="false">
      <c r="B5" s="3" t="s">
        <v>84</v>
      </c>
      <c r="C5" s="30" t="s">
        <v>133</v>
      </c>
      <c r="D5" s="30"/>
      <c r="E5" s="30"/>
      <c r="F5" s="30"/>
      <c r="G5" s="30"/>
    </row>
    <row r="6" customFormat="false" ht="15" hidden="false" customHeight="true" outlineLevel="0" collapsed="false">
      <c r="B6" s="3" t="s">
        <v>134</v>
      </c>
      <c r="C6" s="30" t="s">
        <v>135</v>
      </c>
      <c r="D6" s="30"/>
      <c r="E6" s="30"/>
      <c r="F6" s="30"/>
      <c r="G6" s="30"/>
    </row>
    <row r="7" customFormat="false" ht="15" hidden="false" customHeight="true" outlineLevel="0" collapsed="false">
      <c r="B7" s="3" t="s">
        <v>9</v>
      </c>
      <c r="C7" s="30" t="s">
        <v>10</v>
      </c>
      <c r="D7" s="30"/>
      <c r="E7" s="30"/>
      <c r="F7" s="30"/>
      <c r="G7" s="30"/>
    </row>
    <row r="8" customFormat="false" ht="15" hidden="false" customHeight="true" outlineLevel="0" collapsed="false">
      <c r="B8" s="3" t="s">
        <v>136</v>
      </c>
      <c r="C8" s="30" t="s">
        <v>137</v>
      </c>
      <c r="D8" s="30"/>
      <c r="E8" s="30"/>
      <c r="F8" s="30"/>
      <c r="G8" s="30"/>
    </row>
    <row r="9" customFormat="false" ht="15" hidden="false" customHeight="false" outlineLevel="0" collapsed="false"/>
    <row r="10" customFormat="false" ht="15" hidden="false" customHeight="true" outlineLevel="0" collapsed="false">
      <c r="B10" s="15" t="s">
        <v>138</v>
      </c>
      <c r="C10" s="15"/>
      <c r="D10" s="15"/>
      <c r="E10" s="15"/>
      <c r="F10" s="15"/>
      <c r="G10" s="15"/>
    </row>
    <row r="11" customFormat="false" ht="15" hidden="false" customHeight="true" outlineLevel="0" collapsed="false">
      <c r="B11" s="31" t="s">
        <v>16</v>
      </c>
      <c r="C11" s="31" t="s">
        <v>139</v>
      </c>
      <c r="D11" s="31" t="s">
        <v>140</v>
      </c>
      <c r="E11" s="31" t="s">
        <v>141</v>
      </c>
      <c r="F11" s="31" t="s">
        <v>142</v>
      </c>
      <c r="G11" s="31" t="s">
        <v>143</v>
      </c>
    </row>
    <row r="12" customFormat="false" ht="48" hidden="false" customHeight="true" outlineLevel="0" collapsed="false">
      <c r="B12" s="32" t="n">
        <v>1</v>
      </c>
      <c r="C12" s="32" t="s">
        <v>144</v>
      </c>
      <c r="D12" s="33" t="s">
        <v>145</v>
      </c>
      <c r="E12" s="33" t="s">
        <v>146</v>
      </c>
      <c r="F12" s="34" t="s">
        <v>147</v>
      </c>
      <c r="G12" s="7" t="n">
        <f aca="false">'Rincian Harga'!$F$21</f>
        <v>352000</v>
      </c>
    </row>
    <row r="13" customFormat="false" ht="21.75" hidden="false" customHeight="true" outlineLevel="0" collapsed="false">
      <c r="B13" s="32" t="n">
        <v>2</v>
      </c>
      <c r="C13" s="32" t="s">
        <v>148</v>
      </c>
      <c r="D13" s="33" t="s">
        <v>145</v>
      </c>
      <c r="E13" s="33" t="s">
        <v>149</v>
      </c>
      <c r="F13" s="34" t="s">
        <v>147</v>
      </c>
      <c r="G13" s="7" t="n">
        <f aca="false">'Rincian Harga'!$F$28</f>
        <v>214700</v>
      </c>
    </row>
    <row r="14" customFormat="false" ht="21.75" hidden="false" customHeight="true" outlineLevel="0" collapsed="false">
      <c r="B14" s="32" t="n">
        <v>3</v>
      </c>
      <c r="C14" s="32" t="s">
        <v>150</v>
      </c>
      <c r="D14" s="33" t="s">
        <v>145</v>
      </c>
      <c r="E14" s="33" t="s">
        <v>151</v>
      </c>
      <c r="F14" s="34" t="s">
        <v>147</v>
      </c>
      <c r="G14" s="7" t="n">
        <f aca="false">'Rincian Harga'!$F$35</f>
        <v>30750</v>
      </c>
    </row>
    <row r="15" customFormat="false" ht="21.75" hidden="false" customHeight="true" outlineLevel="0" collapsed="false">
      <c r="B15" s="32" t="n">
        <v>4</v>
      </c>
      <c r="C15" s="32" t="s">
        <v>152</v>
      </c>
      <c r="D15" s="33" t="s">
        <v>145</v>
      </c>
      <c r="E15" s="33" t="s">
        <v>153</v>
      </c>
      <c r="F15" s="34" t="s">
        <v>147</v>
      </c>
      <c r="G15" s="7" t="n">
        <f aca="false">'Rincian Harga'!$F$42</f>
        <v>45000</v>
      </c>
    </row>
    <row r="16" customFormat="false" ht="36" hidden="false" customHeight="true" outlineLevel="0" collapsed="false">
      <c r="B16" s="32" t="n">
        <v>5</v>
      </c>
      <c r="C16" s="32" t="s">
        <v>154</v>
      </c>
      <c r="D16" s="33" t="s">
        <v>145</v>
      </c>
      <c r="E16" s="33" t="s">
        <v>155</v>
      </c>
      <c r="F16" s="34" t="s">
        <v>147</v>
      </c>
      <c r="G16" s="7" t="n">
        <f aca="false">'Rincian Harga'!$F$49</f>
        <v>75000</v>
      </c>
    </row>
    <row r="17" customFormat="false" ht="48" hidden="false" customHeight="true" outlineLevel="0" collapsed="false">
      <c r="B17" s="32" t="n">
        <v>6</v>
      </c>
      <c r="C17" s="32" t="s">
        <v>156</v>
      </c>
      <c r="D17" s="33" t="s">
        <v>145</v>
      </c>
      <c r="E17" s="33" t="s">
        <v>157</v>
      </c>
      <c r="F17" s="34" t="s">
        <v>147</v>
      </c>
      <c r="G17" s="7" t="n">
        <f aca="false">'Rincian Harga'!$F$58</f>
        <v>352000</v>
      </c>
    </row>
    <row r="18" customFormat="false" ht="48" hidden="false" customHeight="true" outlineLevel="0" collapsed="false">
      <c r="B18" s="32" t="n">
        <v>7</v>
      </c>
      <c r="C18" s="32" t="s">
        <v>158</v>
      </c>
      <c r="D18" s="33" t="s">
        <v>145</v>
      </c>
      <c r="E18" s="33" t="s">
        <v>159</v>
      </c>
      <c r="F18" s="34" t="s">
        <v>147</v>
      </c>
      <c r="G18" s="7" t="n">
        <f aca="false">'Rincian Harga'!$F$67</f>
        <v>352000</v>
      </c>
    </row>
    <row r="19" customFormat="false" ht="48" hidden="false" customHeight="true" outlineLevel="0" collapsed="false">
      <c r="B19" s="32" t="n">
        <v>8</v>
      </c>
      <c r="C19" s="32" t="s">
        <v>160</v>
      </c>
      <c r="D19" s="33" t="s">
        <v>145</v>
      </c>
      <c r="E19" s="33" t="s">
        <v>161</v>
      </c>
      <c r="F19" s="34" t="s">
        <v>147</v>
      </c>
      <c r="G19" s="7" t="n">
        <f aca="false">'Rincian Harga'!$F$76</f>
        <v>352000</v>
      </c>
    </row>
    <row r="20" customFormat="false" ht="48" hidden="false" customHeight="true" outlineLevel="0" collapsed="false">
      <c r="B20" s="32" t="n">
        <v>9</v>
      </c>
      <c r="C20" s="32" t="s">
        <v>162</v>
      </c>
      <c r="D20" s="33" t="s">
        <v>145</v>
      </c>
      <c r="E20" s="33" t="s">
        <v>163</v>
      </c>
      <c r="F20" s="34" t="s">
        <v>147</v>
      </c>
      <c r="G20" s="7" t="n">
        <f aca="false">'Rincian Harga'!$F$85</f>
        <v>352000</v>
      </c>
    </row>
    <row r="21" customFormat="false" ht="36" hidden="false" customHeight="true" outlineLevel="0" collapsed="false">
      <c r="B21" s="32" t="n">
        <v>10</v>
      </c>
      <c r="C21" s="32" t="s">
        <v>164</v>
      </c>
      <c r="D21" s="33" t="s">
        <v>165</v>
      </c>
      <c r="E21" s="33" t="s">
        <v>166</v>
      </c>
      <c r="F21" s="34" t="s">
        <v>167</v>
      </c>
      <c r="G21" s="7" t="n">
        <f aca="false">'Rincian Harga'!$F$95</f>
        <v>1000000</v>
      </c>
    </row>
    <row r="22" customFormat="false" ht="36" hidden="false" customHeight="true" outlineLevel="0" collapsed="false">
      <c r="B22" s="32" t="n">
        <v>11</v>
      </c>
      <c r="C22" s="32" t="s">
        <v>168</v>
      </c>
      <c r="D22" s="33" t="s">
        <v>165</v>
      </c>
      <c r="E22" s="33" t="s">
        <v>169</v>
      </c>
      <c r="F22" s="34" t="s">
        <v>167</v>
      </c>
      <c r="G22" s="7" t="n">
        <f aca="false">'Rincian Harga'!$F$100</f>
        <v>47500</v>
      </c>
    </row>
    <row r="23" customFormat="false" ht="21.75" hidden="false" customHeight="true" outlineLevel="0" collapsed="false">
      <c r="B23" s="32" t="n">
        <v>12</v>
      </c>
      <c r="C23" s="32" t="s">
        <v>170</v>
      </c>
      <c r="D23" s="33" t="s">
        <v>165</v>
      </c>
      <c r="E23" s="33" t="s">
        <v>171</v>
      </c>
      <c r="F23" s="34" t="s">
        <v>167</v>
      </c>
      <c r="G23" s="7" t="n">
        <f aca="false">'Rincian Harga'!$F$105</f>
        <v>90000</v>
      </c>
    </row>
    <row r="24" customFormat="false" ht="21.75" hidden="false" customHeight="true" outlineLevel="0" collapsed="false">
      <c r="B24" s="32" t="n">
        <v>13</v>
      </c>
      <c r="C24" s="32" t="s">
        <v>172</v>
      </c>
      <c r="D24" s="33" t="s">
        <v>165</v>
      </c>
      <c r="E24" s="33" t="s">
        <v>173</v>
      </c>
      <c r="F24" s="34" t="s">
        <v>167</v>
      </c>
      <c r="G24" s="7" t="n">
        <f aca="false">'Rincian Harga'!$F$110</f>
        <v>130000</v>
      </c>
    </row>
    <row r="25" customFormat="false" ht="36" hidden="false" customHeight="true" outlineLevel="0" collapsed="false">
      <c r="B25" s="32" t="n">
        <v>14</v>
      </c>
      <c r="C25" s="32" t="s">
        <v>174</v>
      </c>
      <c r="D25" s="33" t="s">
        <v>165</v>
      </c>
      <c r="E25" s="33" t="s">
        <v>175</v>
      </c>
      <c r="F25" s="34" t="s">
        <v>167</v>
      </c>
      <c r="G25" s="7" t="n">
        <f aca="false">'Rincian Harga'!$F$117</f>
        <v>700000</v>
      </c>
    </row>
    <row r="26" customFormat="false" ht="36" hidden="false" customHeight="true" outlineLevel="0" collapsed="false">
      <c r="B26" s="32" t="n">
        <v>15</v>
      </c>
      <c r="C26" s="32" t="s">
        <v>176</v>
      </c>
      <c r="D26" s="33" t="s">
        <v>165</v>
      </c>
      <c r="E26" s="33" t="s">
        <v>177</v>
      </c>
      <c r="F26" s="34" t="s">
        <v>167</v>
      </c>
      <c r="G26" s="7" t="n">
        <f aca="false">'Rincian Harga'!$F$125</f>
        <v>1000000</v>
      </c>
    </row>
    <row r="27" customFormat="false" ht="60" hidden="false" customHeight="true" outlineLevel="0" collapsed="false">
      <c r="B27" s="32" t="n">
        <v>16</v>
      </c>
      <c r="C27" s="32" t="s">
        <v>178</v>
      </c>
      <c r="D27" s="33" t="s">
        <v>179</v>
      </c>
      <c r="E27" s="33" t="s">
        <v>180</v>
      </c>
      <c r="F27" s="34" t="s">
        <v>181</v>
      </c>
      <c r="G27" s="7" t="n">
        <f aca="false">'Rincian Harga'!$F$136</f>
        <v>4500000</v>
      </c>
    </row>
    <row r="28" customFormat="false" ht="48" hidden="false" customHeight="true" outlineLevel="0" collapsed="false">
      <c r="B28" s="32" t="n">
        <v>17</v>
      </c>
      <c r="C28" s="32" t="s">
        <v>182</v>
      </c>
      <c r="D28" s="33" t="s">
        <v>183</v>
      </c>
      <c r="E28" s="33" t="s">
        <v>184</v>
      </c>
      <c r="F28" s="34" t="s">
        <v>185</v>
      </c>
      <c r="G28" s="7" t="n">
        <f aca="false">'Rincian Harga'!$F$147</f>
        <v>19000000</v>
      </c>
    </row>
    <row r="29" customFormat="false" ht="21.75" hidden="false" customHeight="true" outlineLevel="0" collapsed="false">
      <c r="B29" s="32" t="n">
        <v>18</v>
      </c>
      <c r="C29" s="32" t="s">
        <v>186</v>
      </c>
      <c r="D29" s="33" t="s">
        <v>183</v>
      </c>
      <c r="E29" s="33" t="s">
        <v>187</v>
      </c>
      <c r="F29" s="34" t="s">
        <v>188</v>
      </c>
      <c r="G29" s="7" t="n">
        <f aca="false">'Rincian Harga'!$F$154</f>
        <v>1500000</v>
      </c>
    </row>
    <row r="30" customFormat="false" ht="36" hidden="false" customHeight="true" outlineLevel="0" collapsed="false">
      <c r="B30" s="32" t="n">
        <v>19</v>
      </c>
      <c r="C30" s="32" t="s">
        <v>189</v>
      </c>
      <c r="D30" s="33" t="s">
        <v>183</v>
      </c>
      <c r="E30" s="33" t="s">
        <v>190</v>
      </c>
      <c r="F30" s="34" t="s">
        <v>185</v>
      </c>
      <c r="G30" s="7" t="n">
        <f aca="false">'Rincian Harga'!$F$161</f>
        <v>3398000</v>
      </c>
    </row>
    <row r="31" customFormat="false" ht="36" hidden="false" customHeight="true" outlineLevel="0" collapsed="false">
      <c r="B31" s="32" t="n">
        <v>20</v>
      </c>
      <c r="C31" s="32" t="s">
        <v>191</v>
      </c>
      <c r="D31" s="33" t="s">
        <v>183</v>
      </c>
      <c r="E31" s="33" t="s">
        <v>192</v>
      </c>
      <c r="F31" s="34" t="s">
        <v>188</v>
      </c>
      <c r="G31" s="7" t="n">
        <f aca="false">'Rincian Harga'!$F$169</f>
        <v>2500000</v>
      </c>
    </row>
    <row r="32" customFormat="false" ht="36" hidden="false" customHeight="true" outlineLevel="0" collapsed="false">
      <c r="B32" s="32" t="n">
        <v>21</v>
      </c>
      <c r="C32" s="32" t="s">
        <v>193</v>
      </c>
      <c r="D32" s="33" t="s">
        <v>194</v>
      </c>
      <c r="E32" s="33" t="s">
        <v>195</v>
      </c>
      <c r="F32" s="34" t="s">
        <v>185</v>
      </c>
      <c r="G32" s="7" t="n">
        <f aca="false">'Rincian Harga'!$F$178</f>
        <v>26200000</v>
      </c>
    </row>
    <row r="33" customFormat="false" ht="36" hidden="false" customHeight="true" outlineLevel="0" collapsed="false">
      <c r="B33" s="32" t="n">
        <v>22</v>
      </c>
      <c r="C33" s="32" t="s">
        <v>196</v>
      </c>
      <c r="D33" s="33" t="s">
        <v>194</v>
      </c>
      <c r="E33" s="33" t="s">
        <v>197</v>
      </c>
      <c r="F33" s="34" t="s">
        <v>188</v>
      </c>
      <c r="G33" s="7" t="n">
        <f aca="false">'Rincian Harga'!$F$185</f>
        <v>1500000</v>
      </c>
    </row>
    <row r="34" customFormat="false" ht="36" hidden="false" customHeight="true" outlineLevel="0" collapsed="false">
      <c r="B34" s="32" t="n">
        <v>23</v>
      </c>
      <c r="C34" s="32" t="s">
        <v>198</v>
      </c>
      <c r="D34" s="33" t="s">
        <v>194</v>
      </c>
      <c r="E34" s="33" t="s">
        <v>199</v>
      </c>
      <c r="F34" s="34" t="s">
        <v>185</v>
      </c>
      <c r="G34" s="7" t="n">
        <f aca="false">'Rincian Harga'!$F$192</f>
        <v>6500000</v>
      </c>
    </row>
    <row r="35" customFormat="false" ht="36" hidden="false" customHeight="true" outlineLevel="0" collapsed="false">
      <c r="B35" s="32" t="n">
        <v>24</v>
      </c>
      <c r="C35" s="32" t="s">
        <v>200</v>
      </c>
      <c r="D35" s="33" t="s">
        <v>194</v>
      </c>
      <c r="E35" s="33" t="s">
        <v>201</v>
      </c>
      <c r="F35" s="34" t="s">
        <v>188</v>
      </c>
      <c r="G35" s="7" t="n">
        <f aca="false">'Rincian Harga'!$F$200</f>
        <v>2360000</v>
      </c>
    </row>
    <row r="36" customFormat="false" ht="36" hidden="false" customHeight="true" outlineLevel="0" collapsed="false">
      <c r="B36" s="32" t="n">
        <v>25</v>
      </c>
      <c r="C36" s="32" t="s">
        <v>202</v>
      </c>
      <c r="D36" s="33" t="s">
        <v>194</v>
      </c>
      <c r="E36" s="33" t="s">
        <v>203</v>
      </c>
      <c r="F36" s="34" t="s">
        <v>188</v>
      </c>
      <c r="G36" s="7" t="n">
        <f aca="false">'Rincian Harga'!$F$206</f>
        <v>500000</v>
      </c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B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26" min="7" style="1" width="34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35" t="s">
        <v>204</v>
      </c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82</v>
      </c>
      <c r="C4" s="36" t="s">
        <v>205</v>
      </c>
    </row>
    <row r="5" customFormat="false" ht="15" hidden="false" customHeight="true" outlineLevel="0" collapsed="false">
      <c r="B5" s="3" t="s">
        <v>84</v>
      </c>
      <c r="C5" s="36" t="s">
        <v>206</v>
      </c>
    </row>
    <row r="6" customFormat="false" ht="15" hidden="false" customHeight="true" outlineLevel="0" collapsed="false">
      <c r="B6" s="3" t="s">
        <v>134</v>
      </c>
      <c r="C6" s="36" t="s">
        <v>207</v>
      </c>
    </row>
    <row r="7" customFormat="false" ht="15" hidden="false" customHeight="true" outlineLevel="0" collapsed="false">
      <c r="B7" s="3" t="s">
        <v>208</v>
      </c>
      <c r="C7" s="36" t="s">
        <v>209</v>
      </c>
    </row>
    <row r="8" customFormat="false" ht="15" hidden="false" customHeight="true" outlineLevel="0" collapsed="false">
      <c r="B8" s="3" t="s">
        <v>210</v>
      </c>
      <c r="C8" s="36" t="s">
        <v>211</v>
      </c>
    </row>
    <row r="9" customFormat="false" ht="15" hidden="false" customHeight="false" outlineLevel="0" collapsed="false"/>
    <row r="10" customFormat="false" ht="15" hidden="false" customHeight="true" outlineLevel="0" collapsed="false">
      <c r="B10" s="37" t="s">
        <v>212</v>
      </c>
      <c r="C10" s="37"/>
      <c r="D10" s="37"/>
      <c r="E10" s="37"/>
      <c r="F10" s="37"/>
    </row>
    <row r="11" customFormat="false" ht="15" hidden="false" customHeight="true" outlineLevel="0" collapsed="false">
      <c r="B11" s="31" t="s">
        <v>16</v>
      </c>
      <c r="C11" s="31" t="s">
        <v>213</v>
      </c>
      <c r="D11" s="31" t="s">
        <v>214</v>
      </c>
      <c r="E11" s="31" t="s">
        <v>215</v>
      </c>
      <c r="F11" s="31" t="s">
        <v>216</v>
      </c>
      <c r="G11" s="6" t="s">
        <v>217</v>
      </c>
      <c r="H11" s="6" t="s">
        <v>218</v>
      </c>
    </row>
    <row r="12" customFormat="false" ht="21.75" hidden="false" customHeight="true" outlineLevel="0" collapsed="false">
      <c r="B12" s="37" t="s">
        <v>219</v>
      </c>
      <c r="C12" s="37"/>
      <c r="D12" s="37"/>
      <c r="E12" s="37"/>
      <c r="F12" s="37"/>
    </row>
    <row r="13" customFormat="false" ht="42" hidden="false" customHeight="true" outlineLevel="0" collapsed="false">
      <c r="B13" s="38" t="n">
        <v>1</v>
      </c>
      <c r="C13" s="38" t="s">
        <v>144</v>
      </c>
      <c r="D13" s="39" t="s">
        <v>146</v>
      </c>
      <c r="E13" s="39" t="s">
        <v>220</v>
      </c>
      <c r="F13" s="38"/>
    </row>
    <row r="14" customFormat="false" ht="30" hidden="false" customHeight="true" outlineLevel="0" collapsed="false">
      <c r="B14" s="32" t="n">
        <v>1</v>
      </c>
      <c r="C14" s="32" t="s">
        <v>221</v>
      </c>
      <c r="D14" s="33" t="s">
        <v>222</v>
      </c>
      <c r="E14" s="33" t="s">
        <v>223</v>
      </c>
      <c r="F14" s="7" t="n">
        <v>150000</v>
      </c>
    </row>
    <row r="15" customFormat="false" ht="30" hidden="false" customHeight="true" outlineLevel="0" collapsed="false">
      <c r="B15" s="32" t="n">
        <v>2</v>
      </c>
      <c r="C15" s="32" t="s">
        <v>224</v>
      </c>
      <c r="D15" s="33" t="s">
        <v>225</v>
      </c>
      <c r="E15" s="33" t="s">
        <v>226</v>
      </c>
      <c r="F15" s="7" t="n">
        <v>35000</v>
      </c>
    </row>
    <row r="16" customFormat="false" ht="15" hidden="false" customHeight="true" outlineLevel="0" collapsed="false">
      <c r="B16" s="32" t="n">
        <v>3</v>
      </c>
      <c r="C16" s="32" t="s">
        <v>227</v>
      </c>
      <c r="D16" s="33" t="s">
        <v>228</v>
      </c>
      <c r="E16" s="33" t="s">
        <v>229</v>
      </c>
      <c r="F16" s="7" t="n">
        <v>20000</v>
      </c>
    </row>
    <row r="17" customFormat="false" ht="30" hidden="false" customHeight="true" outlineLevel="0" collapsed="false">
      <c r="B17" s="32" t="n">
        <v>4</v>
      </c>
      <c r="C17" s="32" t="s">
        <v>230</v>
      </c>
      <c r="D17" s="33" t="s">
        <v>231</v>
      </c>
      <c r="E17" s="33" t="s">
        <v>232</v>
      </c>
      <c r="F17" s="7" t="n">
        <v>85000</v>
      </c>
    </row>
    <row r="18" customFormat="false" ht="30" hidden="false" customHeight="true" outlineLevel="0" collapsed="false">
      <c r="B18" s="32" t="n">
        <v>5</v>
      </c>
      <c r="C18" s="32" t="s">
        <v>233</v>
      </c>
      <c r="D18" s="33" t="s">
        <v>234</v>
      </c>
      <c r="E18" s="33" t="s">
        <v>235</v>
      </c>
      <c r="F18" s="7" t="n">
        <v>30000</v>
      </c>
    </row>
    <row r="19" customFormat="false" ht="15" hidden="false" customHeight="true" outlineLevel="0" collapsed="false">
      <c r="B19" s="32" t="n">
        <v>6</v>
      </c>
      <c r="C19" s="32" t="s">
        <v>236</v>
      </c>
      <c r="D19" s="33" t="s">
        <v>237</v>
      </c>
      <c r="E19" s="33" t="s">
        <v>238</v>
      </c>
      <c r="F19" s="7" t="n">
        <v>20000</v>
      </c>
    </row>
    <row r="20" customFormat="false" ht="15" hidden="false" customHeight="true" outlineLevel="0" collapsed="false">
      <c r="B20" s="32" t="n">
        <v>7</v>
      </c>
      <c r="C20" s="32" t="s">
        <v>239</v>
      </c>
      <c r="D20" s="33" t="s">
        <v>240</v>
      </c>
      <c r="E20" s="33" t="s">
        <v>241</v>
      </c>
      <c r="F20" s="7" t="n">
        <v>12000</v>
      </c>
    </row>
    <row r="21" customFormat="false" ht="46.5" hidden="false" customHeight="true" outlineLevel="0" collapsed="false">
      <c r="B21" s="40"/>
      <c r="C21" s="40"/>
      <c r="D21" s="40" t="s">
        <v>242</v>
      </c>
      <c r="E21" s="40" t="s">
        <v>243</v>
      </c>
      <c r="F21" s="10" t="n">
        <f aca="false">SUM(F14:F20)</f>
        <v>352000</v>
      </c>
      <c r="G21" s="41" t="str">
        <f aca="false">'Referensi Harga'!$G$20</f>
        <v>Jasa bor nasional Rp 150.000–300.000/m'</v>
      </c>
      <c r="H21" s="22" t="str">
        <f aca="false">'Referensi Harga'!$J$20</f>
        <v>RAB Rp 352rb/m = all-in (rig+BBM+lumpur+upah+mob-demob+developing+OVH) — sedikit di atas kisaran jasa bor murni.</v>
      </c>
    </row>
    <row r="22" customFormat="false" ht="15" hidden="false" customHeight="true" outlineLevel="0" collapsed="false">
      <c r="B22" s="38" t="n">
        <v>2</v>
      </c>
      <c r="C22" s="38" t="s">
        <v>148</v>
      </c>
      <c r="D22" s="39" t="s">
        <v>149</v>
      </c>
      <c r="E22" s="39" t="s">
        <v>220</v>
      </c>
      <c r="F22" s="38"/>
    </row>
    <row r="23" customFormat="false" ht="46.5" hidden="false" customHeight="true" outlineLevel="0" collapsed="false">
      <c r="B23" s="32" t="n">
        <v>1</v>
      </c>
      <c r="C23" s="32" t="s">
        <v>244</v>
      </c>
      <c r="D23" s="33" t="s">
        <v>245</v>
      </c>
      <c r="E23" s="33" t="s">
        <v>246</v>
      </c>
      <c r="F23" s="7" t="n">
        <v>196700</v>
      </c>
      <c r="G23" s="41" t="str">
        <f aca="false">'Referensi Harga'!$G$23</f>
        <v>Rucika AW 6" 4 m: Rp 786.671/batang (± Rp 196.700/m')</v>
      </c>
      <c r="H23" s="22" t="str">
        <f aca="false">'Referensi Harga'!$J$23</f>
        <v>SUDAH DITERAPKAN (v5): material casing ITM-02.1 diperbarui ke ± Rp 196.700/m' (konversi harga batang Rucika AW 6").</v>
      </c>
    </row>
    <row r="24" customFormat="false" ht="15" hidden="false" customHeight="true" outlineLevel="0" collapsed="false">
      <c r="B24" s="32" t="n">
        <v>2</v>
      </c>
      <c r="C24" s="32" t="s">
        <v>247</v>
      </c>
      <c r="D24" s="33" t="s">
        <v>248</v>
      </c>
      <c r="E24" s="33" t="s">
        <v>249</v>
      </c>
      <c r="F24" s="7" t="n">
        <v>6000</v>
      </c>
    </row>
    <row r="25" customFormat="false" ht="15" hidden="false" customHeight="true" outlineLevel="0" collapsed="false">
      <c r="B25" s="32" t="n">
        <v>3</v>
      </c>
      <c r="C25" s="32" t="s">
        <v>250</v>
      </c>
      <c r="D25" s="33" t="s">
        <v>251</v>
      </c>
      <c r="E25" s="33" t="s">
        <v>252</v>
      </c>
      <c r="F25" s="7" t="n">
        <v>7000</v>
      </c>
    </row>
    <row r="26" customFormat="false" ht="15" hidden="false" customHeight="true" outlineLevel="0" collapsed="false">
      <c r="B26" s="32" t="n">
        <v>4</v>
      </c>
      <c r="C26" s="32" t="s">
        <v>253</v>
      </c>
      <c r="D26" s="33" t="s">
        <v>254</v>
      </c>
      <c r="E26" s="33" t="s">
        <v>255</v>
      </c>
      <c r="F26" s="7" t="n">
        <v>3000</v>
      </c>
    </row>
    <row r="27" customFormat="false" ht="15" hidden="false" customHeight="true" outlineLevel="0" collapsed="false">
      <c r="B27" s="32" t="n">
        <v>5</v>
      </c>
      <c r="C27" s="32" t="s">
        <v>256</v>
      </c>
      <c r="D27" s="33" t="s">
        <v>257</v>
      </c>
      <c r="E27" s="33" t="s">
        <v>258</v>
      </c>
      <c r="F27" s="7" t="n">
        <v>2000</v>
      </c>
    </row>
    <row r="28" customFormat="false" ht="15" hidden="false" customHeight="true" outlineLevel="0" collapsed="false">
      <c r="B28" s="40"/>
      <c r="C28" s="40"/>
      <c r="D28" s="40" t="s">
        <v>259</v>
      </c>
      <c r="E28" s="40" t="s">
        <v>260</v>
      </c>
      <c r="F28" s="10" t="n">
        <f aca="false">SUM(F23:F27)</f>
        <v>214700</v>
      </c>
    </row>
    <row r="29" customFormat="false" ht="15" hidden="false" customHeight="true" outlineLevel="0" collapsed="false">
      <c r="B29" s="38" t="n">
        <v>3</v>
      </c>
      <c r="C29" s="38" t="s">
        <v>150</v>
      </c>
      <c r="D29" s="39" t="s">
        <v>151</v>
      </c>
      <c r="E29" s="39" t="s">
        <v>220</v>
      </c>
      <c r="F29" s="38"/>
    </row>
    <row r="30" customFormat="false" ht="46.5" hidden="false" customHeight="true" outlineLevel="0" collapsed="false">
      <c r="B30" s="32" t="n">
        <v>1</v>
      </c>
      <c r="C30" s="32" t="s">
        <v>261</v>
      </c>
      <c r="D30" s="33" t="s">
        <v>262</v>
      </c>
      <c r="E30" s="33" t="s">
        <v>263</v>
      </c>
      <c r="F30" s="7" t="n">
        <v>22750</v>
      </c>
      <c r="G30" s="41" t="str">
        <f aca="false">'Referensi Harga'!$G$25</f>
        <v>Pipa PVC AW 2" 4 m: Rp 91.000–146.000/batang (± Rp 23–37rb/m')</v>
      </c>
      <c r="H30" s="22" t="str">
        <f aca="false">'Referensi Harga'!$J$25</f>
        <v>SUDAH DITERAPKAN (v5): material outlet ITM-03.1 diperbarui ke Rp 22.750/m' (batang eceran terendah Rp 91.000/4 m).</v>
      </c>
    </row>
    <row r="31" customFormat="false" ht="15" hidden="false" customHeight="true" outlineLevel="0" collapsed="false">
      <c r="B31" s="32" t="n">
        <v>2</v>
      </c>
      <c r="C31" s="32" t="s">
        <v>264</v>
      </c>
      <c r="D31" s="33" t="s">
        <v>265</v>
      </c>
      <c r="E31" s="33" t="s">
        <v>255</v>
      </c>
      <c r="F31" s="7" t="n">
        <v>2000</v>
      </c>
    </row>
    <row r="32" customFormat="false" ht="15" hidden="false" customHeight="true" outlineLevel="0" collapsed="false">
      <c r="B32" s="32" t="n">
        <v>3</v>
      </c>
      <c r="C32" s="32" t="s">
        <v>266</v>
      </c>
      <c r="D32" s="33" t="s">
        <v>267</v>
      </c>
      <c r="E32" s="33" t="s">
        <v>252</v>
      </c>
      <c r="F32" s="7" t="n">
        <v>4000</v>
      </c>
    </row>
    <row r="33" customFormat="false" ht="15" hidden="false" customHeight="true" outlineLevel="0" collapsed="false">
      <c r="B33" s="32" t="n">
        <v>4</v>
      </c>
      <c r="C33" s="32" t="s">
        <v>268</v>
      </c>
      <c r="D33" s="33" t="s">
        <v>269</v>
      </c>
      <c r="E33" s="33" t="s">
        <v>255</v>
      </c>
      <c r="F33" s="7" t="n">
        <v>1000</v>
      </c>
    </row>
    <row r="34" customFormat="false" ht="15" hidden="false" customHeight="true" outlineLevel="0" collapsed="false">
      <c r="B34" s="32" t="n">
        <v>5</v>
      </c>
      <c r="C34" s="32" t="s">
        <v>270</v>
      </c>
      <c r="D34" s="33" t="s">
        <v>257</v>
      </c>
      <c r="E34" s="33" t="s">
        <v>271</v>
      </c>
      <c r="F34" s="7" t="n">
        <v>1000</v>
      </c>
    </row>
    <row r="35" customFormat="false" ht="15" hidden="false" customHeight="true" outlineLevel="0" collapsed="false">
      <c r="B35" s="40"/>
      <c r="C35" s="40"/>
      <c r="D35" s="40" t="s">
        <v>272</v>
      </c>
      <c r="E35" s="40" t="s">
        <v>273</v>
      </c>
      <c r="F35" s="10" t="n">
        <f aca="false">SUM(F30:F34)</f>
        <v>30750</v>
      </c>
    </row>
    <row r="36" customFormat="false" ht="15" hidden="false" customHeight="true" outlineLevel="0" collapsed="false">
      <c r="B36" s="38" t="n">
        <v>4</v>
      </c>
      <c r="C36" s="38" t="s">
        <v>152</v>
      </c>
      <c r="D36" s="39" t="s">
        <v>153</v>
      </c>
      <c r="E36" s="39" t="s">
        <v>220</v>
      </c>
      <c r="F36" s="38"/>
    </row>
    <row r="37" customFormat="false" ht="33" hidden="false" customHeight="true" outlineLevel="0" collapsed="false">
      <c r="B37" s="32" t="n">
        <v>1</v>
      </c>
      <c r="C37" s="32" t="s">
        <v>274</v>
      </c>
      <c r="D37" s="33" t="s">
        <v>275</v>
      </c>
      <c r="E37" s="33" t="s">
        <v>276</v>
      </c>
      <c r="F37" s="7" t="n">
        <v>12000</v>
      </c>
      <c r="G37" s="41" t="str">
        <f aca="false">'Referensi Harga'!$G$27</f>
        <v>Silika gravel media filter (per karung 50 kg)</v>
      </c>
      <c r="H37" s="22" t="str">
        <f aca="false">'Referensi Harga'!$J$27</f>
        <v>RAB memakai harga grosir lokal per m' annulus (Rp 12rb/m') — beda basis satuan.</v>
      </c>
    </row>
    <row r="38" customFormat="false" ht="15" hidden="false" customHeight="true" outlineLevel="0" collapsed="false">
      <c r="B38" s="32" t="n">
        <v>2</v>
      </c>
      <c r="C38" s="32" t="s">
        <v>277</v>
      </c>
      <c r="D38" s="33" t="s">
        <v>278</v>
      </c>
      <c r="E38" s="33" t="s">
        <v>279</v>
      </c>
      <c r="F38" s="7" t="n">
        <v>8000</v>
      </c>
    </row>
    <row r="39" customFormat="false" ht="15" hidden="false" customHeight="true" outlineLevel="0" collapsed="false">
      <c r="B39" s="32" t="n">
        <v>3</v>
      </c>
      <c r="C39" s="32" t="s">
        <v>280</v>
      </c>
      <c r="D39" s="33" t="s">
        <v>281</v>
      </c>
      <c r="E39" s="33" t="s">
        <v>252</v>
      </c>
      <c r="F39" s="7" t="n">
        <v>18000</v>
      </c>
    </row>
    <row r="40" customFormat="false" ht="15" hidden="false" customHeight="true" outlineLevel="0" collapsed="false">
      <c r="B40" s="32" t="n">
        <v>4</v>
      </c>
      <c r="C40" s="32" t="s">
        <v>282</v>
      </c>
      <c r="D40" s="33" t="s">
        <v>283</v>
      </c>
      <c r="E40" s="33" t="s">
        <v>255</v>
      </c>
      <c r="F40" s="7" t="n">
        <v>4000</v>
      </c>
    </row>
    <row r="41" customFormat="false" ht="15" hidden="false" customHeight="true" outlineLevel="0" collapsed="false">
      <c r="B41" s="32" t="n">
        <v>5</v>
      </c>
      <c r="C41" s="32" t="s">
        <v>284</v>
      </c>
      <c r="D41" s="33" t="s">
        <v>257</v>
      </c>
      <c r="E41" s="33" t="s">
        <v>285</v>
      </c>
      <c r="F41" s="7" t="n">
        <v>3000</v>
      </c>
    </row>
    <row r="42" customFormat="false" ht="15" hidden="false" customHeight="true" outlineLevel="0" collapsed="false">
      <c r="B42" s="40"/>
      <c r="C42" s="40"/>
      <c r="D42" s="40" t="s">
        <v>286</v>
      </c>
      <c r="E42" s="40" t="s">
        <v>287</v>
      </c>
      <c r="F42" s="10" t="n">
        <f aca="false">SUM(F37:F41)</f>
        <v>45000</v>
      </c>
    </row>
    <row r="43" customFormat="false" ht="30" hidden="false" customHeight="true" outlineLevel="0" collapsed="false">
      <c r="B43" s="38" t="n">
        <v>5</v>
      </c>
      <c r="C43" s="38" t="s">
        <v>154</v>
      </c>
      <c r="D43" s="39" t="s">
        <v>155</v>
      </c>
      <c r="E43" s="39" t="s">
        <v>220</v>
      </c>
      <c r="F43" s="38"/>
    </row>
    <row r="44" customFormat="false" ht="46.5" hidden="false" customHeight="true" outlineLevel="0" collapsed="false">
      <c r="B44" s="32" t="n">
        <v>1</v>
      </c>
      <c r="C44" s="32" t="s">
        <v>288</v>
      </c>
      <c r="D44" s="33" t="s">
        <v>289</v>
      </c>
      <c r="E44" s="33" t="s">
        <v>290</v>
      </c>
      <c r="F44" s="7" t="n">
        <v>20000</v>
      </c>
      <c r="G44" s="41" t="str">
        <f aca="false">'Referensi Harga'!$G$29</f>
        <v>Semen 50 kg: mulai Rp 50.000–58.000/sak (Nov 2024)</v>
      </c>
      <c r="H44" s="22" t="str">
        <f aca="false">'Referensi Harga'!$J$29</f>
        <v>Komponen utama grout = semen; RAB Rp 65.000/sak sudah termasuk distribusi ke Tebo.</v>
      </c>
    </row>
    <row r="45" customFormat="false" ht="15" hidden="false" customHeight="true" outlineLevel="0" collapsed="false">
      <c r="B45" s="32" t="n">
        <v>2</v>
      </c>
      <c r="C45" s="32" t="s">
        <v>291</v>
      </c>
      <c r="D45" s="33" t="s">
        <v>292</v>
      </c>
      <c r="E45" s="33" t="s">
        <v>293</v>
      </c>
      <c r="F45" s="7" t="n">
        <v>3000</v>
      </c>
    </row>
    <row r="46" customFormat="false" ht="15" hidden="false" customHeight="true" outlineLevel="0" collapsed="false">
      <c r="B46" s="32" t="n">
        <v>3</v>
      </c>
      <c r="C46" s="32" t="s">
        <v>294</v>
      </c>
      <c r="D46" s="33" t="s">
        <v>295</v>
      </c>
      <c r="E46" s="33" t="s">
        <v>252</v>
      </c>
      <c r="F46" s="7" t="n">
        <v>28000</v>
      </c>
    </row>
    <row r="47" customFormat="false" ht="15" hidden="false" customHeight="true" outlineLevel="0" collapsed="false">
      <c r="B47" s="32" t="n">
        <v>4</v>
      </c>
      <c r="C47" s="32" t="s">
        <v>296</v>
      </c>
      <c r="D47" s="33" t="s">
        <v>297</v>
      </c>
      <c r="E47" s="33" t="s">
        <v>298</v>
      </c>
      <c r="F47" s="7" t="n">
        <v>14000</v>
      </c>
    </row>
    <row r="48" customFormat="false" ht="15" hidden="false" customHeight="true" outlineLevel="0" collapsed="false">
      <c r="B48" s="32" t="n">
        <v>5</v>
      </c>
      <c r="C48" s="32" t="s">
        <v>299</v>
      </c>
      <c r="D48" s="33" t="s">
        <v>257</v>
      </c>
      <c r="E48" s="33" t="s">
        <v>300</v>
      </c>
      <c r="F48" s="7" t="n">
        <v>10000</v>
      </c>
    </row>
    <row r="49" customFormat="false" ht="15" hidden="false" customHeight="true" outlineLevel="0" collapsed="false">
      <c r="B49" s="40"/>
      <c r="C49" s="40"/>
      <c r="D49" s="40" t="s">
        <v>301</v>
      </c>
      <c r="E49" s="40" t="s">
        <v>302</v>
      </c>
      <c r="F49" s="10" t="n">
        <f aca="false">SUM(F44:F48)</f>
        <v>75000</v>
      </c>
    </row>
    <row r="50" customFormat="false" ht="42" hidden="false" customHeight="true" outlineLevel="0" collapsed="false">
      <c r="B50" s="38" t="n">
        <v>6</v>
      </c>
      <c r="C50" s="38" t="s">
        <v>156</v>
      </c>
      <c r="D50" s="39" t="s">
        <v>157</v>
      </c>
      <c r="E50" s="39" t="s">
        <v>303</v>
      </c>
      <c r="F50" s="38"/>
    </row>
    <row r="51" customFormat="false" ht="30" hidden="false" customHeight="true" outlineLevel="0" collapsed="false">
      <c r="B51" s="32" t="n">
        <v>1</v>
      </c>
      <c r="C51" s="32" t="s">
        <v>304</v>
      </c>
      <c r="D51" s="33" t="s">
        <v>222</v>
      </c>
      <c r="E51" s="33" t="s">
        <v>223</v>
      </c>
      <c r="F51" s="7" t="n">
        <v>150000</v>
      </c>
    </row>
    <row r="52" customFormat="false" ht="30" hidden="false" customHeight="true" outlineLevel="0" collapsed="false">
      <c r="B52" s="32" t="n">
        <v>2</v>
      </c>
      <c r="C52" s="32" t="s">
        <v>305</v>
      </c>
      <c r="D52" s="33" t="s">
        <v>225</v>
      </c>
      <c r="E52" s="33" t="s">
        <v>226</v>
      </c>
      <c r="F52" s="7" t="n">
        <v>35000</v>
      </c>
    </row>
    <row r="53" customFormat="false" ht="15" hidden="false" customHeight="true" outlineLevel="0" collapsed="false">
      <c r="B53" s="32" t="n">
        <v>3</v>
      </c>
      <c r="C53" s="32" t="s">
        <v>306</v>
      </c>
      <c r="D53" s="33" t="s">
        <v>228</v>
      </c>
      <c r="E53" s="33" t="s">
        <v>229</v>
      </c>
      <c r="F53" s="7" t="n">
        <v>20000</v>
      </c>
    </row>
    <row r="54" customFormat="false" ht="30" hidden="false" customHeight="true" outlineLevel="0" collapsed="false">
      <c r="B54" s="32" t="n">
        <v>4</v>
      </c>
      <c r="C54" s="32" t="s">
        <v>307</v>
      </c>
      <c r="D54" s="33" t="s">
        <v>231</v>
      </c>
      <c r="E54" s="33" t="s">
        <v>232</v>
      </c>
      <c r="F54" s="7" t="n">
        <v>85000</v>
      </c>
    </row>
    <row r="55" customFormat="false" ht="30" hidden="false" customHeight="true" outlineLevel="0" collapsed="false">
      <c r="B55" s="32" t="n">
        <v>5</v>
      </c>
      <c r="C55" s="32" t="s">
        <v>308</v>
      </c>
      <c r="D55" s="33" t="s">
        <v>234</v>
      </c>
      <c r="E55" s="33" t="s">
        <v>235</v>
      </c>
      <c r="F55" s="7" t="n">
        <v>30000</v>
      </c>
    </row>
    <row r="56" customFormat="false" ht="15" hidden="false" customHeight="true" outlineLevel="0" collapsed="false">
      <c r="B56" s="32" t="n">
        <v>6</v>
      </c>
      <c r="C56" s="32" t="s">
        <v>309</v>
      </c>
      <c r="D56" s="33" t="s">
        <v>237</v>
      </c>
      <c r="E56" s="33" t="s">
        <v>238</v>
      </c>
      <c r="F56" s="7" t="n">
        <v>20000</v>
      </c>
    </row>
    <row r="57" customFormat="false" ht="15" hidden="false" customHeight="true" outlineLevel="0" collapsed="false">
      <c r="B57" s="32" t="n">
        <v>7</v>
      </c>
      <c r="C57" s="32" t="s">
        <v>310</v>
      </c>
      <c r="D57" s="33" t="s">
        <v>240</v>
      </c>
      <c r="E57" s="33" t="s">
        <v>241</v>
      </c>
      <c r="F57" s="7" t="n">
        <v>12000</v>
      </c>
    </row>
    <row r="58" customFormat="false" ht="33" hidden="false" customHeight="true" outlineLevel="0" collapsed="false">
      <c r="B58" s="40"/>
      <c r="C58" s="40"/>
      <c r="D58" s="40" t="s">
        <v>311</v>
      </c>
      <c r="E58" s="40" t="s">
        <v>312</v>
      </c>
      <c r="F58" s="10" t="n">
        <f aca="false">SUM(F51:F57)</f>
        <v>352000</v>
      </c>
      <c r="G58" s="41" t="str">
        <f aca="false">'Referensi Harga'!$G$31</f>
        <v>Tarif jasa bor = ITM-01 (Rp 150.000–300.000/m')</v>
      </c>
      <c r="H58" s="22" t="str">
        <f aca="false">'Referensi Harga'!$J$31</f>
        <v>Tarif pemboran sama untuk kedalaman 25–45 m; pembeda hanya volume.</v>
      </c>
    </row>
    <row r="59" customFormat="false" ht="42" hidden="false" customHeight="true" outlineLevel="0" collapsed="false">
      <c r="B59" s="38" t="n">
        <v>7</v>
      </c>
      <c r="C59" s="38" t="s">
        <v>158</v>
      </c>
      <c r="D59" s="39" t="s">
        <v>159</v>
      </c>
      <c r="E59" s="39" t="s">
        <v>303</v>
      </c>
      <c r="F59" s="38"/>
    </row>
    <row r="60" customFormat="false" ht="30" hidden="false" customHeight="true" outlineLevel="0" collapsed="false">
      <c r="B60" s="32" t="n">
        <v>1</v>
      </c>
      <c r="C60" s="32" t="s">
        <v>313</v>
      </c>
      <c r="D60" s="33" t="s">
        <v>222</v>
      </c>
      <c r="E60" s="33" t="s">
        <v>223</v>
      </c>
      <c r="F60" s="7" t="n">
        <v>150000</v>
      </c>
    </row>
    <row r="61" customFormat="false" ht="30" hidden="false" customHeight="true" outlineLevel="0" collapsed="false">
      <c r="B61" s="32" t="n">
        <v>2</v>
      </c>
      <c r="C61" s="32" t="s">
        <v>314</v>
      </c>
      <c r="D61" s="33" t="s">
        <v>225</v>
      </c>
      <c r="E61" s="33" t="s">
        <v>226</v>
      </c>
      <c r="F61" s="7" t="n">
        <v>35000</v>
      </c>
    </row>
    <row r="62" customFormat="false" ht="15" hidden="false" customHeight="true" outlineLevel="0" collapsed="false">
      <c r="B62" s="32" t="n">
        <v>3</v>
      </c>
      <c r="C62" s="32" t="s">
        <v>315</v>
      </c>
      <c r="D62" s="33" t="s">
        <v>228</v>
      </c>
      <c r="E62" s="33" t="s">
        <v>229</v>
      </c>
      <c r="F62" s="7" t="n">
        <v>20000</v>
      </c>
    </row>
    <row r="63" customFormat="false" ht="30" hidden="false" customHeight="true" outlineLevel="0" collapsed="false">
      <c r="B63" s="32" t="n">
        <v>4</v>
      </c>
      <c r="C63" s="32" t="s">
        <v>316</v>
      </c>
      <c r="D63" s="33" t="s">
        <v>231</v>
      </c>
      <c r="E63" s="33" t="s">
        <v>232</v>
      </c>
      <c r="F63" s="7" t="n">
        <v>85000</v>
      </c>
    </row>
    <row r="64" customFormat="false" ht="30" hidden="false" customHeight="true" outlineLevel="0" collapsed="false">
      <c r="B64" s="32" t="n">
        <v>5</v>
      </c>
      <c r="C64" s="32" t="s">
        <v>317</v>
      </c>
      <c r="D64" s="33" t="s">
        <v>234</v>
      </c>
      <c r="E64" s="33" t="s">
        <v>235</v>
      </c>
      <c r="F64" s="7" t="n">
        <v>30000</v>
      </c>
    </row>
    <row r="65" customFormat="false" ht="15" hidden="false" customHeight="true" outlineLevel="0" collapsed="false">
      <c r="B65" s="32" t="n">
        <v>6</v>
      </c>
      <c r="C65" s="32" t="s">
        <v>318</v>
      </c>
      <c r="D65" s="33" t="s">
        <v>237</v>
      </c>
      <c r="E65" s="33" t="s">
        <v>238</v>
      </c>
      <c r="F65" s="7" t="n">
        <v>20000</v>
      </c>
    </row>
    <row r="66" customFormat="false" ht="15" hidden="false" customHeight="true" outlineLevel="0" collapsed="false">
      <c r="B66" s="32" t="n">
        <v>7</v>
      </c>
      <c r="C66" s="32" t="s">
        <v>319</v>
      </c>
      <c r="D66" s="33" t="s">
        <v>240</v>
      </c>
      <c r="E66" s="33" t="s">
        <v>241</v>
      </c>
      <c r="F66" s="7" t="n">
        <v>12000</v>
      </c>
    </row>
    <row r="67" customFormat="false" ht="33" hidden="false" customHeight="true" outlineLevel="0" collapsed="false">
      <c r="B67" s="40"/>
      <c r="C67" s="40"/>
      <c r="D67" s="40" t="s">
        <v>320</v>
      </c>
      <c r="E67" s="40" t="s">
        <v>321</v>
      </c>
      <c r="F67" s="10" t="n">
        <f aca="false">SUM(F60:F66)</f>
        <v>352000</v>
      </c>
      <c r="G67" s="41" t="str">
        <f aca="false">'Referensi Harga'!$G$32</f>
        <v>Tarif jasa bor = ITM-01 (Rp 150.000–300.000/m')</v>
      </c>
      <c r="H67" s="22" t="str">
        <f aca="false">'Referensi Harga'!$J$32</f>
        <v>Tarif pemboran sama untuk semua kedalaman (lihat catatan ITM-01).</v>
      </c>
    </row>
    <row r="68" customFormat="false" ht="42" hidden="false" customHeight="true" outlineLevel="0" collapsed="false">
      <c r="B68" s="38" t="n">
        <v>8</v>
      </c>
      <c r="C68" s="38" t="s">
        <v>160</v>
      </c>
      <c r="D68" s="39" t="s">
        <v>161</v>
      </c>
      <c r="E68" s="39" t="s">
        <v>303</v>
      </c>
      <c r="F68" s="38"/>
    </row>
    <row r="69" customFormat="false" ht="30" hidden="false" customHeight="true" outlineLevel="0" collapsed="false">
      <c r="B69" s="32" t="n">
        <v>1</v>
      </c>
      <c r="C69" s="32" t="s">
        <v>322</v>
      </c>
      <c r="D69" s="33" t="s">
        <v>222</v>
      </c>
      <c r="E69" s="33" t="s">
        <v>223</v>
      </c>
      <c r="F69" s="7" t="n">
        <v>150000</v>
      </c>
    </row>
    <row r="70" customFormat="false" ht="30" hidden="false" customHeight="true" outlineLevel="0" collapsed="false">
      <c r="B70" s="32" t="n">
        <v>2</v>
      </c>
      <c r="C70" s="32" t="s">
        <v>323</v>
      </c>
      <c r="D70" s="33" t="s">
        <v>225</v>
      </c>
      <c r="E70" s="33" t="s">
        <v>226</v>
      </c>
      <c r="F70" s="7" t="n">
        <v>35000</v>
      </c>
    </row>
    <row r="71" customFormat="false" ht="15" hidden="false" customHeight="true" outlineLevel="0" collapsed="false">
      <c r="B71" s="32" t="n">
        <v>3</v>
      </c>
      <c r="C71" s="32" t="s">
        <v>324</v>
      </c>
      <c r="D71" s="33" t="s">
        <v>228</v>
      </c>
      <c r="E71" s="33" t="s">
        <v>229</v>
      </c>
      <c r="F71" s="7" t="n">
        <v>20000</v>
      </c>
    </row>
    <row r="72" customFormat="false" ht="30" hidden="false" customHeight="true" outlineLevel="0" collapsed="false">
      <c r="B72" s="32" t="n">
        <v>4</v>
      </c>
      <c r="C72" s="32" t="s">
        <v>325</v>
      </c>
      <c r="D72" s="33" t="s">
        <v>231</v>
      </c>
      <c r="E72" s="33" t="s">
        <v>232</v>
      </c>
      <c r="F72" s="7" t="n">
        <v>85000</v>
      </c>
    </row>
    <row r="73" customFormat="false" ht="30" hidden="false" customHeight="true" outlineLevel="0" collapsed="false">
      <c r="B73" s="32" t="n">
        <v>5</v>
      </c>
      <c r="C73" s="32" t="s">
        <v>326</v>
      </c>
      <c r="D73" s="33" t="s">
        <v>234</v>
      </c>
      <c r="E73" s="33" t="s">
        <v>235</v>
      </c>
      <c r="F73" s="7" t="n">
        <v>30000</v>
      </c>
    </row>
    <row r="74" customFormat="false" ht="15" hidden="false" customHeight="true" outlineLevel="0" collapsed="false">
      <c r="B74" s="32" t="n">
        <v>6</v>
      </c>
      <c r="C74" s="32" t="s">
        <v>327</v>
      </c>
      <c r="D74" s="33" t="s">
        <v>237</v>
      </c>
      <c r="E74" s="33" t="s">
        <v>238</v>
      </c>
      <c r="F74" s="7" t="n">
        <v>20000</v>
      </c>
    </row>
    <row r="75" customFormat="false" ht="15" hidden="false" customHeight="true" outlineLevel="0" collapsed="false">
      <c r="B75" s="32" t="n">
        <v>7</v>
      </c>
      <c r="C75" s="32" t="s">
        <v>328</v>
      </c>
      <c r="D75" s="33" t="s">
        <v>240</v>
      </c>
      <c r="E75" s="33" t="s">
        <v>241</v>
      </c>
      <c r="F75" s="7" t="n">
        <v>12000</v>
      </c>
    </row>
    <row r="76" customFormat="false" ht="33" hidden="false" customHeight="true" outlineLevel="0" collapsed="false">
      <c r="B76" s="40"/>
      <c r="C76" s="40"/>
      <c r="D76" s="40" t="s">
        <v>329</v>
      </c>
      <c r="E76" s="40" t="s">
        <v>330</v>
      </c>
      <c r="F76" s="10" t="n">
        <f aca="false">SUM(F69:F75)</f>
        <v>352000</v>
      </c>
      <c r="G76" s="41" t="str">
        <f aca="false">'Referensi Harga'!$G$33</f>
        <v>Paket per kedalaman (20 m Rp 5 jt; 30 m Rp 6,5 jt)</v>
      </c>
      <c r="H76" s="22" t="str">
        <f aca="false">'Referensi Harga'!$J$33</f>
        <v>Artikel lengkap paket sumur bor per kedalaman.</v>
      </c>
    </row>
    <row r="77" customFormat="false" ht="42" hidden="false" customHeight="true" outlineLevel="0" collapsed="false">
      <c r="B77" s="38" t="n">
        <v>9</v>
      </c>
      <c r="C77" s="38" t="s">
        <v>162</v>
      </c>
      <c r="D77" s="39" t="s">
        <v>163</v>
      </c>
      <c r="E77" s="39" t="s">
        <v>303</v>
      </c>
      <c r="F77" s="38"/>
    </row>
    <row r="78" customFormat="false" ht="30" hidden="false" customHeight="true" outlineLevel="0" collapsed="false">
      <c r="B78" s="32" t="n">
        <v>1</v>
      </c>
      <c r="C78" s="32" t="s">
        <v>331</v>
      </c>
      <c r="D78" s="33" t="s">
        <v>222</v>
      </c>
      <c r="E78" s="33" t="s">
        <v>223</v>
      </c>
      <c r="F78" s="7" t="n">
        <v>150000</v>
      </c>
    </row>
    <row r="79" customFormat="false" ht="30" hidden="false" customHeight="true" outlineLevel="0" collapsed="false">
      <c r="B79" s="32" t="n">
        <v>2</v>
      </c>
      <c r="C79" s="32" t="s">
        <v>332</v>
      </c>
      <c r="D79" s="33" t="s">
        <v>225</v>
      </c>
      <c r="E79" s="33" t="s">
        <v>226</v>
      </c>
      <c r="F79" s="7" t="n">
        <v>35000</v>
      </c>
    </row>
    <row r="80" customFormat="false" ht="15" hidden="false" customHeight="true" outlineLevel="0" collapsed="false">
      <c r="B80" s="32" t="n">
        <v>3</v>
      </c>
      <c r="C80" s="32" t="s">
        <v>333</v>
      </c>
      <c r="D80" s="33" t="s">
        <v>228</v>
      </c>
      <c r="E80" s="33" t="s">
        <v>229</v>
      </c>
      <c r="F80" s="7" t="n">
        <v>20000</v>
      </c>
    </row>
    <row r="81" customFormat="false" ht="30" hidden="false" customHeight="true" outlineLevel="0" collapsed="false">
      <c r="B81" s="32" t="n">
        <v>4</v>
      </c>
      <c r="C81" s="32" t="s">
        <v>334</v>
      </c>
      <c r="D81" s="33" t="s">
        <v>231</v>
      </c>
      <c r="E81" s="33" t="s">
        <v>232</v>
      </c>
      <c r="F81" s="7" t="n">
        <v>85000</v>
      </c>
    </row>
    <row r="82" customFormat="false" ht="30" hidden="false" customHeight="true" outlineLevel="0" collapsed="false">
      <c r="B82" s="32" t="n">
        <v>5</v>
      </c>
      <c r="C82" s="32" t="s">
        <v>335</v>
      </c>
      <c r="D82" s="33" t="s">
        <v>234</v>
      </c>
      <c r="E82" s="33" t="s">
        <v>235</v>
      </c>
      <c r="F82" s="7" t="n">
        <v>30000</v>
      </c>
    </row>
    <row r="83" customFormat="false" ht="15" hidden="false" customHeight="true" outlineLevel="0" collapsed="false">
      <c r="B83" s="32" t="n">
        <v>6</v>
      </c>
      <c r="C83" s="32" t="s">
        <v>336</v>
      </c>
      <c r="D83" s="33" t="s">
        <v>237</v>
      </c>
      <c r="E83" s="33" t="s">
        <v>238</v>
      </c>
      <c r="F83" s="7" t="n">
        <v>20000</v>
      </c>
    </row>
    <row r="84" customFormat="false" ht="15" hidden="false" customHeight="true" outlineLevel="0" collapsed="false">
      <c r="B84" s="32" t="n">
        <v>7</v>
      </c>
      <c r="C84" s="32" t="s">
        <v>337</v>
      </c>
      <c r="D84" s="33" t="s">
        <v>240</v>
      </c>
      <c r="E84" s="33" t="s">
        <v>241</v>
      </c>
      <c r="F84" s="7" t="n">
        <v>12000</v>
      </c>
    </row>
    <row r="85" customFormat="false" ht="33" hidden="false" customHeight="true" outlineLevel="0" collapsed="false">
      <c r="B85" s="40"/>
      <c r="C85" s="40"/>
      <c r="D85" s="40" t="s">
        <v>338</v>
      </c>
      <c r="E85" s="40" t="s">
        <v>339</v>
      </c>
      <c r="F85" s="10" t="n">
        <f aca="false">SUM(F78:F84)</f>
        <v>352000</v>
      </c>
      <c r="G85" s="41" t="str">
        <f aca="false">'Referensi Harga'!$G$34</f>
        <v>Tarif jasa bor = ITM-01 (Rp 150.000–300.000/m')</v>
      </c>
      <c r="H85" s="22" t="str">
        <f aca="false">'Referensi Harga'!$J$34</f>
        <v>Kedalaman 42 m — tarif per meter sama, volume menentukan total.</v>
      </c>
    </row>
    <row r="86" customFormat="false" ht="15" hidden="false" customHeight="false" outlineLevel="0" collapsed="false"/>
    <row r="87" customFormat="false" ht="21.75" hidden="false" customHeight="true" outlineLevel="0" collapsed="false">
      <c r="B87" s="37" t="s">
        <v>340</v>
      </c>
      <c r="C87" s="37"/>
      <c r="D87" s="37"/>
      <c r="E87" s="37"/>
      <c r="F87" s="37"/>
    </row>
    <row r="88" customFormat="false" ht="30" hidden="false" customHeight="true" outlineLevel="0" collapsed="false">
      <c r="B88" s="38" t="n">
        <v>10</v>
      </c>
      <c r="C88" s="38" t="s">
        <v>164</v>
      </c>
      <c r="D88" s="39" t="s">
        <v>166</v>
      </c>
      <c r="E88" s="39" t="s">
        <v>341</v>
      </c>
      <c r="F88" s="38"/>
    </row>
    <row r="89" customFormat="false" ht="30" hidden="false" customHeight="true" outlineLevel="0" collapsed="false">
      <c r="B89" s="32" t="n">
        <v>1</v>
      </c>
      <c r="C89" s="32" t="s">
        <v>342</v>
      </c>
      <c r="D89" s="33" t="s">
        <v>343</v>
      </c>
      <c r="E89" s="33" t="s">
        <v>344</v>
      </c>
      <c r="F89" s="7" t="n">
        <v>338000</v>
      </c>
    </row>
    <row r="90" customFormat="false" ht="15" hidden="false" customHeight="true" outlineLevel="0" collapsed="false">
      <c r="B90" s="32" t="n">
        <v>2</v>
      </c>
      <c r="C90" s="32" t="s">
        <v>345</v>
      </c>
      <c r="D90" s="33" t="s">
        <v>346</v>
      </c>
      <c r="E90" s="33" t="s">
        <v>347</v>
      </c>
      <c r="F90" s="7" t="n">
        <v>115000</v>
      </c>
    </row>
    <row r="91" customFormat="false" ht="15" hidden="false" customHeight="true" outlineLevel="0" collapsed="false">
      <c r="B91" s="32" t="n">
        <v>3</v>
      </c>
      <c r="C91" s="32" t="s">
        <v>348</v>
      </c>
      <c r="D91" s="33" t="s">
        <v>349</v>
      </c>
      <c r="E91" s="33" t="s">
        <v>350</v>
      </c>
      <c r="F91" s="7" t="n">
        <v>270000</v>
      </c>
    </row>
    <row r="92" customFormat="false" ht="15" hidden="false" customHeight="true" outlineLevel="0" collapsed="false">
      <c r="B92" s="32" t="n">
        <v>4</v>
      </c>
      <c r="C92" s="32" t="s">
        <v>351</v>
      </c>
      <c r="D92" s="33" t="s">
        <v>352</v>
      </c>
      <c r="E92" s="33" t="s">
        <v>353</v>
      </c>
      <c r="F92" s="7" t="n">
        <v>10000</v>
      </c>
    </row>
    <row r="93" customFormat="false" ht="46.5" hidden="false" customHeight="true" outlineLevel="0" collapsed="false">
      <c r="B93" s="32" t="n">
        <v>5</v>
      </c>
      <c r="C93" s="32" t="s">
        <v>354</v>
      </c>
      <c r="D93" s="33" t="s">
        <v>355</v>
      </c>
      <c r="E93" s="33" t="s">
        <v>356</v>
      </c>
      <c r="F93" s="7" t="n">
        <v>217000</v>
      </c>
      <c r="G93" s="41" t="str">
        <f aca="false">'Referensi Harga'!$G$37</f>
        <v>Upah tenaga cor Rp 45.000–60.000/m³ (material terpisah)</v>
      </c>
      <c r="H93" s="22" t="str">
        <f aca="false">'Referensi Harga'!$J$37</f>
        <v>Material cor dihitung terpisah di Rincian Harga (semen/pasir/split — lihat referensi masing-masing).</v>
      </c>
    </row>
    <row r="94" customFormat="false" ht="15" hidden="false" customHeight="true" outlineLevel="0" collapsed="false">
      <c r="B94" s="32" t="n">
        <v>6</v>
      </c>
      <c r="C94" s="32" t="s">
        <v>357</v>
      </c>
      <c r="D94" s="33" t="s">
        <v>257</v>
      </c>
      <c r="E94" s="33" t="s">
        <v>358</v>
      </c>
      <c r="F94" s="7" t="n">
        <v>50000</v>
      </c>
    </row>
    <row r="95" customFormat="false" ht="46.5" hidden="false" customHeight="true" outlineLevel="0" collapsed="false">
      <c r="B95" s="40"/>
      <c r="C95" s="40"/>
      <c r="D95" s="40" t="s">
        <v>359</v>
      </c>
      <c r="E95" s="40" t="s">
        <v>360</v>
      </c>
      <c r="F95" s="10" t="n">
        <f aca="false">SUM(F89:F94)</f>
        <v>1000000</v>
      </c>
      <c r="G95" s="41" t="str">
        <f aca="false">'Referensi Harga'!$G$36</f>
        <v>Borongan cor beton manual Rp 250.000–350.000/m³</v>
      </c>
      <c r="H95" s="22" t="str">
        <f aca="false">'Referensi Harga'!$J$36</f>
        <v>Pembanding upah cor+finishing RAB Rp 217rb/m³ (termasuk bekisting sederhana) — dalam kisaran.</v>
      </c>
    </row>
    <row r="96" customFormat="false" ht="30" hidden="false" customHeight="true" outlineLevel="0" collapsed="false">
      <c r="B96" s="38" t="n">
        <v>11</v>
      </c>
      <c r="C96" s="38" t="s">
        <v>168</v>
      </c>
      <c r="D96" s="39" t="s">
        <v>169</v>
      </c>
      <c r="E96" s="39" t="s">
        <v>341</v>
      </c>
      <c r="F96" s="38"/>
    </row>
    <row r="97" customFormat="false" ht="46.5" hidden="false" customHeight="true" outlineLevel="0" collapsed="false">
      <c r="B97" s="32" t="n">
        <v>1</v>
      </c>
      <c r="C97" s="32" t="s">
        <v>361</v>
      </c>
      <c r="D97" s="33" t="s">
        <v>362</v>
      </c>
      <c r="E97" s="33" t="s">
        <v>363</v>
      </c>
      <c r="F97" s="7" t="n">
        <v>40000</v>
      </c>
      <c r="G97" s="41" t="str">
        <f aca="false">'Referensi Harga'!$G$38</f>
        <v>Borongan galian tanah ± Rp 159.000/m³</v>
      </c>
      <c r="H97" s="22" t="str">
        <f aca="false">'Referensi Harga'!$J$38</f>
        <v>Pembanding borongan; RAB upah Rp 40rb + alat Rp 5rb = galian upah murni (lebih hemat).</v>
      </c>
    </row>
    <row r="98" customFormat="false" ht="15" hidden="false" customHeight="true" outlineLevel="0" collapsed="false">
      <c r="B98" s="32" t="n">
        <v>2</v>
      </c>
      <c r="C98" s="32" t="s">
        <v>364</v>
      </c>
      <c r="D98" s="33" t="s">
        <v>365</v>
      </c>
      <c r="E98" s="33" t="s">
        <v>366</v>
      </c>
      <c r="F98" s="7" t="n">
        <v>5000</v>
      </c>
    </row>
    <row r="99" customFormat="false" ht="15" hidden="false" customHeight="true" outlineLevel="0" collapsed="false">
      <c r="B99" s="32" t="n">
        <v>3</v>
      </c>
      <c r="C99" s="32" t="s">
        <v>367</v>
      </c>
      <c r="D99" s="33" t="s">
        <v>257</v>
      </c>
      <c r="E99" s="33" t="s">
        <v>368</v>
      </c>
      <c r="F99" s="7" t="n">
        <v>2500</v>
      </c>
    </row>
    <row r="100" customFormat="false" ht="33" hidden="false" customHeight="true" outlineLevel="0" collapsed="false">
      <c r="B100" s="40"/>
      <c r="C100" s="40"/>
      <c r="D100" s="40" t="s">
        <v>369</v>
      </c>
      <c r="E100" s="40" t="s">
        <v>370</v>
      </c>
      <c r="F100" s="10" t="n">
        <f aca="false">SUM(F97:F99)</f>
        <v>47500</v>
      </c>
      <c r="G100" s="41" t="str">
        <f aca="false">'Referensi Harga'!$G$39</f>
        <v>AHSP menggali 1 m³ tanah biasa: Rp 76.250</v>
      </c>
      <c r="H100" s="22" t="str">
        <f aca="false">'Referensi Harga'!$J$39</f>
        <v>Analisa upah resmi — RAB (Rp 45rb/m³ total) berada di bawahnya.</v>
      </c>
    </row>
    <row r="101" customFormat="false" ht="15" hidden="false" customHeight="true" outlineLevel="0" collapsed="false">
      <c r="B101" s="38" t="n">
        <v>12</v>
      </c>
      <c r="C101" s="38" t="s">
        <v>170</v>
      </c>
      <c r="D101" s="39" t="s">
        <v>171</v>
      </c>
      <c r="E101" s="39" t="s">
        <v>341</v>
      </c>
      <c r="F101" s="38"/>
    </row>
    <row r="102" customFormat="false" ht="33" hidden="false" customHeight="true" outlineLevel="0" collapsed="false">
      <c r="B102" s="32" t="n">
        <v>1</v>
      </c>
      <c r="C102" s="32" t="s">
        <v>371</v>
      </c>
      <c r="D102" s="33" t="s">
        <v>372</v>
      </c>
      <c r="E102" s="33" t="s">
        <v>373</v>
      </c>
      <c r="F102" s="7" t="n">
        <v>60000</v>
      </c>
      <c r="G102" s="41" t="str">
        <f aca="false">'Referensi Harga'!$G$40</f>
        <v>Pasir beton grade A Rp 320.000/m³ (Bekasi–Jakarta, Jul 2025)</v>
      </c>
      <c r="H102" s="22" t="str">
        <f aca="false">'Referensi Harga'!$J$40</f>
        <v>Harga Jabodetabek; pasir urug lokal Tebo jauh lebih murah (RAB Rp 60rb/m³).</v>
      </c>
    </row>
    <row r="103" customFormat="false" ht="15" hidden="false" customHeight="true" outlineLevel="0" collapsed="false">
      <c r="B103" s="32" t="n">
        <v>2</v>
      </c>
      <c r="C103" s="32" t="s">
        <v>374</v>
      </c>
      <c r="D103" s="33" t="s">
        <v>375</v>
      </c>
      <c r="E103" s="33" t="s">
        <v>252</v>
      </c>
      <c r="F103" s="7" t="n">
        <v>25000</v>
      </c>
    </row>
    <row r="104" customFormat="false" ht="15" hidden="false" customHeight="true" outlineLevel="0" collapsed="false">
      <c r="B104" s="32" t="n">
        <v>3</v>
      </c>
      <c r="C104" s="32" t="s">
        <v>376</v>
      </c>
      <c r="D104" s="33" t="s">
        <v>257</v>
      </c>
      <c r="E104" s="33" t="s">
        <v>377</v>
      </c>
      <c r="F104" s="7" t="n">
        <v>5000</v>
      </c>
    </row>
    <row r="105" customFormat="false" ht="15" hidden="false" customHeight="true" outlineLevel="0" collapsed="false">
      <c r="B105" s="40"/>
      <c r="C105" s="40"/>
      <c r="D105" s="40" t="s">
        <v>378</v>
      </c>
      <c r="E105" s="40" t="s">
        <v>379</v>
      </c>
      <c r="F105" s="10" t="n">
        <f aca="false">SUM(F102:F104)</f>
        <v>90000</v>
      </c>
    </row>
    <row r="106" customFormat="false" ht="15" hidden="false" customHeight="true" outlineLevel="0" collapsed="false">
      <c r="B106" s="38" t="n">
        <v>13</v>
      </c>
      <c r="C106" s="38" t="s">
        <v>172</v>
      </c>
      <c r="D106" s="39" t="s">
        <v>173</v>
      </c>
      <c r="E106" s="39" t="s">
        <v>341</v>
      </c>
      <c r="F106" s="38"/>
    </row>
    <row r="107" customFormat="false" ht="46.5" hidden="false" customHeight="true" outlineLevel="0" collapsed="false">
      <c r="B107" s="32" t="n">
        <v>1</v>
      </c>
      <c r="C107" s="32" t="s">
        <v>380</v>
      </c>
      <c r="D107" s="33" t="s">
        <v>381</v>
      </c>
      <c r="E107" s="33" t="s">
        <v>382</v>
      </c>
      <c r="F107" s="7" t="n">
        <v>95000</v>
      </c>
      <c r="G107" s="41" t="str">
        <f aca="false">'Referensi Harga'!$G$42</f>
        <v>Batu belah/kali per truk 8 m³ Rp 2,22 jt (± Rp 278rb/m³)</v>
      </c>
      <c r="H107" s="22" t="str">
        <f aca="false">'Referensi Harga'!$J$42</f>
        <v>RAB batu kosong Rp 95rb/m³ = batu belah lokal Tebo (di bawah harga trukan Jabodetabek).</v>
      </c>
    </row>
    <row r="108" customFormat="false" ht="15" hidden="false" customHeight="true" outlineLevel="0" collapsed="false">
      <c r="B108" s="32" t="n">
        <v>2</v>
      </c>
      <c r="C108" s="32" t="s">
        <v>383</v>
      </c>
      <c r="D108" s="33" t="s">
        <v>384</v>
      </c>
      <c r="E108" s="33" t="s">
        <v>252</v>
      </c>
      <c r="F108" s="7" t="n">
        <v>25000</v>
      </c>
    </row>
    <row r="109" customFormat="false" ht="15" hidden="false" customHeight="true" outlineLevel="0" collapsed="false">
      <c r="B109" s="32" t="n">
        <v>3</v>
      </c>
      <c r="C109" s="32" t="s">
        <v>385</v>
      </c>
      <c r="D109" s="33" t="s">
        <v>257</v>
      </c>
      <c r="E109" s="33" t="s">
        <v>386</v>
      </c>
      <c r="F109" s="7" t="n">
        <v>10000</v>
      </c>
    </row>
    <row r="110" customFormat="false" ht="15" hidden="false" customHeight="true" outlineLevel="0" collapsed="false">
      <c r="B110" s="40"/>
      <c r="C110" s="40"/>
      <c r="D110" s="40" t="s">
        <v>387</v>
      </c>
      <c r="E110" s="40" t="s">
        <v>388</v>
      </c>
      <c r="F110" s="10" t="n">
        <f aca="false">SUM(F107:F109)</f>
        <v>130000</v>
      </c>
    </row>
    <row r="111" customFormat="false" ht="30" hidden="false" customHeight="true" outlineLevel="0" collapsed="false">
      <c r="B111" s="38" t="n">
        <v>14</v>
      </c>
      <c r="C111" s="38" t="s">
        <v>174</v>
      </c>
      <c r="D111" s="39" t="s">
        <v>175</v>
      </c>
      <c r="E111" s="39" t="s">
        <v>341</v>
      </c>
      <c r="F111" s="38"/>
    </row>
    <row r="112" customFormat="false" ht="15" hidden="false" customHeight="true" outlineLevel="0" collapsed="false">
      <c r="B112" s="32" t="n">
        <v>1</v>
      </c>
      <c r="C112" s="32" t="s">
        <v>389</v>
      </c>
      <c r="D112" s="33" t="s">
        <v>390</v>
      </c>
      <c r="E112" s="33" t="s">
        <v>391</v>
      </c>
      <c r="F112" s="7" t="n">
        <v>165000</v>
      </c>
    </row>
    <row r="113" customFormat="false" ht="30" hidden="false" customHeight="true" outlineLevel="0" collapsed="false">
      <c r="B113" s="32" t="n">
        <v>2</v>
      </c>
      <c r="C113" s="32" t="s">
        <v>392</v>
      </c>
      <c r="D113" s="33" t="s">
        <v>343</v>
      </c>
      <c r="E113" s="33" t="s">
        <v>393</v>
      </c>
      <c r="F113" s="7" t="n">
        <v>162500</v>
      </c>
    </row>
    <row r="114" customFormat="false" ht="15" hidden="false" customHeight="true" outlineLevel="0" collapsed="false">
      <c r="B114" s="32" t="n">
        <v>3</v>
      </c>
      <c r="C114" s="32" t="s">
        <v>394</v>
      </c>
      <c r="D114" s="33" t="s">
        <v>395</v>
      </c>
      <c r="E114" s="33" t="s">
        <v>396</v>
      </c>
      <c r="F114" s="7" t="n">
        <v>125000</v>
      </c>
    </row>
    <row r="115" customFormat="false" ht="15" hidden="false" customHeight="true" outlineLevel="0" collapsed="false">
      <c r="B115" s="32" t="n">
        <v>4</v>
      </c>
      <c r="C115" s="32" t="s">
        <v>397</v>
      </c>
      <c r="D115" s="33" t="s">
        <v>398</v>
      </c>
      <c r="E115" s="33" t="s">
        <v>356</v>
      </c>
      <c r="F115" s="7" t="n">
        <v>190000</v>
      </c>
    </row>
    <row r="116" customFormat="false" ht="15" hidden="false" customHeight="true" outlineLevel="0" collapsed="false">
      <c r="B116" s="32" t="n">
        <v>5</v>
      </c>
      <c r="C116" s="32" t="s">
        <v>399</v>
      </c>
      <c r="D116" s="33" t="s">
        <v>257</v>
      </c>
      <c r="E116" s="33" t="s">
        <v>400</v>
      </c>
      <c r="F116" s="7" t="n">
        <v>57500</v>
      </c>
    </row>
    <row r="117" customFormat="false" ht="46.5" hidden="false" customHeight="true" outlineLevel="0" collapsed="false">
      <c r="B117" s="40"/>
      <c r="C117" s="40"/>
      <c r="D117" s="40" t="s">
        <v>401</v>
      </c>
      <c r="E117" s="40" t="s">
        <v>402</v>
      </c>
      <c r="F117" s="10" t="n">
        <f aca="false">SUM(F112:F116)</f>
        <v>700000</v>
      </c>
      <c r="G117" s="41" t="str">
        <f aca="false">'Referensi Harga'!$G$43</f>
        <v>Borongan pondasi batu kali Rp 980.000–1.800.000/m³ (terpasang)</v>
      </c>
      <c r="H117" s="22" t="str">
        <f aca="false">'Referensi Harga'!$J$43</f>
        <v>Harga terpasang all-in; RAB merinci sendiri (total ± Rp 700rb/m³) — lebih hemat.</v>
      </c>
    </row>
    <row r="118" customFormat="false" ht="30" hidden="false" customHeight="true" outlineLevel="0" collapsed="false">
      <c r="B118" s="38" t="n">
        <v>15</v>
      </c>
      <c r="C118" s="38" t="s">
        <v>176</v>
      </c>
      <c r="D118" s="39" t="s">
        <v>177</v>
      </c>
      <c r="E118" s="39" t="s">
        <v>341</v>
      </c>
      <c r="F118" s="38"/>
    </row>
    <row r="119" customFormat="false" ht="30" hidden="false" customHeight="true" outlineLevel="0" collapsed="false">
      <c r="B119" s="32" t="n">
        <v>1</v>
      </c>
      <c r="C119" s="32" t="s">
        <v>403</v>
      </c>
      <c r="D119" s="33" t="s">
        <v>343</v>
      </c>
      <c r="E119" s="33" t="s">
        <v>344</v>
      </c>
      <c r="F119" s="7" t="n">
        <v>338000</v>
      </c>
    </row>
    <row r="120" customFormat="false" ht="15" hidden="false" customHeight="true" outlineLevel="0" collapsed="false">
      <c r="B120" s="32" t="n">
        <v>2</v>
      </c>
      <c r="C120" s="32" t="s">
        <v>404</v>
      </c>
      <c r="D120" s="33" t="s">
        <v>346</v>
      </c>
      <c r="E120" s="33" t="s">
        <v>347</v>
      </c>
      <c r="F120" s="7" t="n">
        <v>115000</v>
      </c>
    </row>
    <row r="121" customFormat="false" ht="15" hidden="false" customHeight="true" outlineLevel="0" collapsed="false">
      <c r="B121" s="32" t="n">
        <v>3</v>
      </c>
      <c r="C121" s="32" t="s">
        <v>405</v>
      </c>
      <c r="D121" s="33" t="s">
        <v>349</v>
      </c>
      <c r="E121" s="33" t="s">
        <v>350</v>
      </c>
      <c r="F121" s="7" t="n">
        <v>270000</v>
      </c>
    </row>
    <row r="122" customFormat="false" ht="15" hidden="false" customHeight="true" outlineLevel="0" collapsed="false">
      <c r="B122" s="32" t="n">
        <v>4</v>
      </c>
      <c r="C122" s="32" t="s">
        <v>406</v>
      </c>
      <c r="D122" s="33" t="s">
        <v>407</v>
      </c>
      <c r="E122" s="33" t="s">
        <v>408</v>
      </c>
      <c r="F122" s="7" t="n">
        <v>90000</v>
      </c>
    </row>
    <row r="123" customFormat="false" ht="15" hidden="false" customHeight="true" outlineLevel="0" collapsed="false">
      <c r="B123" s="32" t="n">
        <v>5</v>
      </c>
      <c r="C123" s="32" t="s">
        <v>409</v>
      </c>
      <c r="D123" s="33" t="s">
        <v>410</v>
      </c>
      <c r="E123" s="33" t="s">
        <v>356</v>
      </c>
      <c r="F123" s="7" t="n">
        <v>150000</v>
      </c>
    </row>
    <row r="124" customFormat="false" ht="15" hidden="false" customHeight="true" outlineLevel="0" collapsed="false">
      <c r="B124" s="32" t="n">
        <v>6</v>
      </c>
      <c r="C124" s="32" t="s">
        <v>411</v>
      </c>
      <c r="D124" s="33" t="s">
        <v>257</v>
      </c>
      <c r="E124" s="33" t="s">
        <v>412</v>
      </c>
      <c r="F124" s="7" t="n">
        <v>37000</v>
      </c>
    </row>
    <row r="125" customFormat="false" ht="33" hidden="false" customHeight="true" outlineLevel="0" collapsed="false">
      <c r="B125" s="40"/>
      <c r="C125" s="40"/>
      <c r="D125" s="40" t="s">
        <v>413</v>
      </c>
      <c r="E125" s="40" t="s">
        <v>414</v>
      </c>
      <c r="F125" s="10" t="n">
        <f aca="false">SUM(F119:F124)</f>
        <v>1000000</v>
      </c>
      <c r="G125" s="41" t="str">
        <f aca="false">'Referensi Harga'!$G$45</f>
        <v>Beton cor ready-mix K-175: Rp 730.000–770.000/m³</v>
      </c>
      <c r="H125" s="22" t="str">
        <f aca="false">'Referensi Harga'!$J$45</f>
        <v>Pembanding harga beton; RAB sloof manual ± Rp 1jt/m³ termasuk bekisting + upah.</v>
      </c>
    </row>
    <row r="126" customFormat="false" ht="15" hidden="false" customHeight="false" outlineLevel="0" collapsed="false"/>
    <row r="127" customFormat="false" ht="21.75" hidden="false" customHeight="true" outlineLevel="0" collapsed="false">
      <c r="B127" s="37" t="s">
        <v>415</v>
      </c>
      <c r="C127" s="37"/>
      <c r="D127" s="37"/>
      <c r="E127" s="37"/>
      <c r="F127" s="37"/>
    </row>
    <row r="128" customFormat="false" ht="54" hidden="false" customHeight="true" outlineLevel="0" collapsed="false">
      <c r="B128" s="38" t="n">
        <v>16</v>
      </c>
      <c r="C128" s="38" t="s">
        <v>178</v>
      </c>
      <c r="D128" s="39" t="s">
        <v>180</v>
      </c>
      <c r="E128" s="39" t="s">
        <v>416</v>
      </c>
      <c r="F128" s="38"/>
    </row>
    <row r="129" customFormat="false" ht="46.5" hidden="false" customHeight="true" outlineLevel="0" collapsed="false">
      <c r="B129" s="32" t="n">
        <v>1</v>
      </c>
      <c r="C129" s="32" t="s">
        <v>417</v>
      </c>
      <c r="D129" s="33" t="s">
        <v>418</v>
      </c>
      <c r="E129" s="33" t="s">
        <v>419</v>
      </c>
      <c r="F129" s="7" t="n">
        <v>1200000</v>
      </c>
      <c r="G129" s="41" t="str">
        <f aca="false">'Referensi Harga'!$G$48</f>
        <v>Hollow galvanis 2×4 cm tebal 1,2 mm @6 m: Rp 47.000/batang (± 25 btg ≈ Rp 1,18 jt)</v>
      </c>
      <c r="H129" s="22" t="str">
        <f aca="false">'Referensi Harga'!$J$48</f>
        <v>KONSISTEN dengan Rincian Harga (material rangka Rp 1,2jt / ± 25 batang).</v>
      </c>
    </row>
    <row r="130" customFormat="false" ht="15" hidden="false" customHeight="true" outlineLevel="0" collapsed="false">
      <c r="B130" s="32" t="n">
        <v>2</v>
      </c>
      <c r="C130" s="32" t="s">
        <v>420</v>
      </c>
      <c r="D130" s="33" t="s">
        <v>421</v>
      </c>
      <c r="E130" s="33" t="s">
        <v>422</v>
      </c>
      <c r="F130" s="7" t="n">
        <v>500000</v>
      </c>
    </row>
    <row r="131" customFormat="false" ht="15" hidden="false" customHeight="true" outlineLevel="0" collapsed="false">
      <c r="B131" s="32" t="n">
        <v>3</v>
      </c>
      <c r="C131" s="32" t="s">
        <v>423</v>
      </c>
      <c r="D131" s="33" t="s">
        <v>424</v>
      </c>
      <c r="E131" s="33" t="s">
        <v>425</v>
      </c>
      <c r="F131" s="7" t="n">
        <v>400000</v>
      </c>
    </row>
    <row r="132" customFormat="false" ht="15" hidden="false" customHeight="true" outlineLevel="0" collapsed="false">
      <c r="B132" s="32" t="n">
        <v>4</v>
      </c>
      <c r="C132" s="32" t="s">
        <v>426</v>
      </c>
      <c r="D132" s="33" t="s">
        <v>427</v>
      </c>
      <c r="E132" s="33" t="s">
        <v>428</v>
      </c>
      <c r="F132" s="7" t="n">
        <v>350000</v>
      </c>
    </row>
    <row r="133" customFormat="false" ht="15" hidden="false" customHeight="true" outlineLevel="0" collapsed="false">
      <c r="B133" s="32" t="n">
        <v>5</v>
      </c>
      <c r="C133" s="32" t="s">
        <v>429</v>
      </c>
      <c r="D133" s="33" t="s">
        <v>430</v>
      </c>
      <c r="E133" s="33" t="s">
        <v>431</v>
      </c>
      <c r="F133" s="7" t="n">
        <v>300000</v>
      </c>
    </row>
    <row r="134" customFormat="false" ht="15" hidden="false" customHeight="true" outlineLevel="0" collapsed="false">
      <c r="B134" s="32" t="n">
        <v>6</v>
      </c>
      <c r="C134" s="32" t="s">
        <v>432</v>
      </c>
      <c r="D134" s="33" t="s">
        <v>433</v>
      </c>
      <c r="E134" s="33" t="s">
        <v>434</v>
      </c>
      <c r="F134" s="7" t="n">
        <v>1350000</v>
      </c>
    </row>
    <row r="135" customFormat="false" ht="15" hidden="false" customHeight="true" outlineLevel="0" collapsed="false">
      <c r="B135" s="32" t="n">
        <v>7</v>
      </c>
      <c r="C135" s="32" t="s">
        <v>435</v>
      </c>
      <c r="D135" s="33" t="s">
        <v>257</v>
      </c>
      <c r="E135" s="33" t="s">
        <v>436</v>
      </c>
      <c r="F135" s="7" t="n">
        <v>400000</v>
      </c>
    </row>
    <row r="136" customFormat="false" ht="15" hidden="false" customHeight="true" outlineLevel="0" collapsed="false">
      <c r="B136" s="40"/>
      <c r="C136" s="40"/>
      <c r="D136" s="40" t="s">
        <v>437</v>
      </c>
      <c r="E136" s="40" t="s">
        <v>438</v>
      </c>
      <c r="F136" s="10" t="n">
        <f aca="false">SUM(F129:F135)</f>
        <v>4500000</v>
      </c>
    </row>
    <row r="137" customFormat="false" ht="15" hidden="false" customHeight="false" outlineLevel="0" collapsed="false"/>
    <row r="138" customFormat="false" ht="21.75" hidden="false" customHeight="true" outlineLevel="0" collapsed="false">
      <c r="B138" s="37" t="s">
        <v>439</v>
      </c>
      <c r="C138" s="37"/>
      <c r="D138" s="37"/>
      <c r="E138" s="37"/>
      <c r="F138" s="37"/>
    </row>
    <row r="139" customFormat="false" ht="54" hidden="false" customHeight="true" outlineLevel="0" collapsed="false">
      <c r="B139" s="38" t="n">
        <v>17</v>
      </c>
      <c r="C139" s="38" t="s">
        <v>182</v>
      </c>
      <c r="D139" s="39" t="s">
        <v>184</v>
      </c>
      <c r="E139" s="39" t="s">
        <v>440</v>
      </c>
      <c r="F139" s="38"/>
    </row>
    <row r="140" customFormat="false" ht="33" hidden="false" customHeight="true" outlineLevel="0" collapsed="false">
      <c r="B140" s="32" t="n">
        <v>1</v>
      </c>
      <c r="C140" s="32" t="s">
        <v>441</v>
      </c>
      <c r="D140" s="33" t="s">
        <v>442</v>
      </c>
      <c r="E140" s="33" t="s">
        <v>443</v>
      </c>
      <c r="F140" s="7" t="n">
        <v>6500000</v>
      </c>
      <c r="G140" s="41" t="str">
        <f aca="false">'Referensi Harga'!$G$51</f>
        <v>Pompa Satelit 4" 2 HP stainless: Turbomeister Rp 4.716.000–4.916.000; San Ei (14-5) Rp 3.252.000; MAXPUMP 4SPM 3/25 Rp 4.763.000</v>
      </c>
      <c r="H140" s="22" t="str">
        <f aca="false">'Referensi Harga'!$J$51</f>
        <v>RAB pompa Rp 6,5jt (pump-only) = kelas menengah stainless — di atas merek lokal 4" (Rp 3,2–4,9jt), di bawah kelas BIT/Shimizu (Rp 7,6–11,9jt dgn kabel 50 m).</v>
      </c>
    </row>
    <row r="141" customFormat="false" ht="60" hidden="false" customHeight="true" outlineLevel="0" collapsed="false">
      <c r="B141" s="32" t="n">
        <v>2</v>
      </c>
      <c r="C141" s="32" t="s">
        <v>444</v>
      </c>
      <c r="D141" s="33" t="s">
        <v>445</v>
      </c>
      <c r="E141" s="33" t="s">
        <v>446</v>
      </c>
      <c r="F141" s="7" t="n">
        <v>5000000</v>
      </c>
      <c r="G141" s="41" t="str">
        <f aca="false">'Referensi Harga'!$G$53</f>
        <v>Inverter solar pump 2,2 kW: generic Rp 465rb s/d branded ± Rp 5jt</v>
      </c>
      <c r="H141" s="22" t="str">
        <f aca="false">'Referensi Harga'!$J$53</f>
        <v>RAB inverter MPPT Rp 5jt = kelas branded dengan MPPT (mis. INVT/Voltronic). Inti sistem BATTERYLESS — pompa bekerja langsung dari PV tanpa baterai.</v>
      </c>
    </row>
    <row r="142" customFormat="false" ht="30" hidden="false" customHeight="true" outlineLevel="0" collapsed="false">
      <c r="B142" s="32" t="n">
        <v>3</v>
      </c>
      <c r="C142" s="32" t="s">
        <v>447</v>
      </c>
      <c r="D142" s="33" t="s">
        <v>448</v>
      </c>
      <c r="E142" s="33" t="s">
        <v>449</v>
      </c>
      <c r="F142" s="7" t="n">
        <v>2000000</v>
      </c>
    </row>
    <row r="143" customFormat="false" ht="15" hidden="false" customHeight="true" outlineLevel="0" collapsed="false">
      <c r="B143" s="32" t="n">
        <v>4</v>
      </c>
      <c r="C143" s="32" t="s">
        <v>450</v>
      </c>
      <c r="D143" s="33" t="s">
        <v>451</v>
      </c>
      <c r="E143" s="33" t="s">
        <v>452</v>
      </c>
      <c r="F143" s="7" t="n">
        <v>1500000</v>
      </c>
    </row>
    <row r="144" customFormat="false" ht="30" hidden="false" customHeight="true" outlineLevel="0" collapsed="false">
      <c r="B144" s="32" t="n">
        <v>5</v>
      </c>
      <c r="C144" s="32" t="s">
        <v>453</v>
      </c>
      <c r="D144" s="33" t="s">
        <v>454</v>
      </c>
      <c r="E144" s="33" t="s">
        <v>449</v>
      </c>
      <c r="F144" s="7" t="n">
        <v>1000000</v>
      </c>
    </row>
    <row r="145" customFormat="false" ht="60" hidden="false" customHeight="true" outlineLevel="0" collapsed="false">
      <c r="B145" s="32" t="n">
        <v>6</v>
      </c>
      <c r="C145" s="32" t="s">
        <v>455</v>
      </c>
      <c r="D145" s="33" t="s">
        <v>456</v>
      </c>
      <c r="E145" s="33" t="s">
        <v>457</v>
      </c>
      <c r="F145" s="7" t="n">
        <v>1500000</v>
      </c>
      <c r="G145" s="41" t="str">
        <f aca="false">'Referensi Harga'!$G$77</f>
        <v>Jakarta → Muara Tebo Rp 5.000/kg (rute spesifik, dikutip 11 Sep 2026)</v>
      </c>
      <c r="H145" s="22" t="str">
        <f aca="false">'Referensi Harga'!$J$77</f>
        <v>Batas bawah kisaran ongkir. Dipakai sebagai dasar hitung komponen transport ITM-19.6 / ITM-21.4 / ITM-17.4 / ITM-24.4 di sheet Rincian Harga.</v>
      </c>
    </row>
    <row r="146" customFormat="false" ht="15" hidden="false" customHeight="true" outlineLevel="0" collapsed="false">
      <c r="B146" s="32" t="n">
        <v>7</v>
      </c>
      <c r="C146" s="32" t="s">
        <v>458</v>
      </c>
      <c r="D146" s="33" t="s">
        <v>257</v>
      </c>
      <c r="E146" s="33" t="s">
        <v>459</v>
      </c>
      <c r="F146" s="7" t="n">
        <v>1500000</v>
      </c>
    </row>
    <row r="147" customFormat="false" ht="15" hidden="false" customHeight="true" outlineLevel="0" collapsed="false">
      <c r="B147" s="40"/>
      <c r="C147" s="40"/>
      <c r="D147" s="40" t="s">
        <v>460</v>
      </c>
      <c r="E147" s="40" t="s">
        <v>461</v>
      </c>
      <c r="F147" s="10" t="n">
        <f aca="false">SUM(F140:F146)</f>
        <v>19000000</v>
      </c>
    </row>
    <row r="148" customFormat="false" ht="30" hidden="false" customHeight="true" outlineLevel="0" collapsed="false">
      <c r="B148" s="38" t="n">
        <v>18</v>
      </c>
      <c r="C148" s="38" t="s">
        <v>186</v>
      </c>
      <c r="D148" s="39" t="s">
        <v>187</v>
      </c>
      <c r="E148" s="39" t="s">
        <v>462</v>
      </c>
      <c r="F148" s="38"/>
    </row>
    <row r="149" customFormat="false" ht="46.5" hidden="false" customHeight="true" outlineLevel="0" collapsed="false">
      <c r="B149" s="32" t="n">
        <v>1</v>
      </c>
      <c r="C149" s="32" t="s">
        <v>463</v>
      </c>
      <c r="D149" s="33" t="s">
        <v>464</v>
      </c>
      <c r="E149" s="33" t="s">
        <v>465</v>
      </c>
      <c r="F149" s="7" t="n">
        <v>700000</v>
      </c>
      <c r="G149" s="41" t="str">
        <f aca="false">'Referensi Harga'!$G$56</f>
        <v>Upah pemasangan pompa = upah teknisi lokal (lihat Referensi Umum)</v>
      </c>
      <c r="H149" s="22" t="str">
        <f aca="false">'Referensi Harga'!$J$56</f>
        <v>Estimasi internal; dasar upah harian Tebo lihat bagian Referensi Umum.</v>
      </c>
    </row>
    <row r="150" customFormat="false" ht="30" hidden="false" customHeight="true" outlineLevel="0" collapsed="false">
      <c r="B150" s="32" t="n">
        <v>2</v>
      </c>
      <c r="C150" s="32" t="s">
        <v>466</v>
      </c>
      <c r="D150" s="33" t="s">
        <v>467</v>
      </c>
      <c r="E150" s="33" t="s">
        <v>468</v>
      </c>
      <c r="F150" s="7" t="n">
        <v>300000</v>
      </c>
    </row>
    <row r="151" customFormat="false" ht="30" hidden="false" customHeight="true" outlineLevel="0" collapsed="false">
      <c r="B151" s="32" t="n">
        <v>3</v>
      </c>
      <c r="C151" s="32" t="s">
        <v>469</v>
      </c>
      <c r="D151" s="33" t="s">
        <v>470</v>
      </c>
      <c r="E151" s="33" t="s">
        <v>471</v>
      </c>
      <c r="F151" s="7" t="n">
        <v>200000</v>
      </c>
    </row>
    <row r="152" customFormat="false" ht="15" hidden="false" customHeight="true" outlineLevel="0" collapsed="false">
      <c r="B152" s="32" t="n">
        <v>4</v>
      </c>
      <c r="C152" s="32" t="s">
        <v>472</v>
      </c>
      <c r="D152" s="33" t="s">
        <v>473</v>
      </c>
      <c r="E152" s="33" t="s">
        <v>474</v>
      </c>
      <c r="F152" s="7" t="n">
        <v>200000</v>
      </c>
    </row>
    <row r="153" customFormat="false" ht="15" hidden="false" customHeight="true" outlineLevel="0" collapsed="false">
      <c r="B153" s="32" t="n">
        <v>5</v>
      </c>
      <c r="C153" s="32" t="s">
        <v>475</v>
      </c>
      <c r="D153" s="33" t="s">
        <v>257</v>
      </c>
      <c r="E153" s="33" t="s">
        <v>285</v>
      </c>
      <c r="F153" s="7" t="n">
        <v>100000</v>
      </c>
    </row>
    <row r="154" customFormat="false" ht="15" hidden="false" customHeight="true" outlineLevel="0" collapsed="false">
      <c r="B154" s="40"/>
      <c r="C154" s="40"/>
      <c r="D154" s="40" t="s">
        <v>476</v>
      </c>
      <c r="E154" s="40" t="s">
        <v>477</v>
      </c>
      <c r="F154" s="10" t="n">
        <f aca="false">SUM(F149:F153)</f>
        <v>1500000</v>
      </c>
    </row>
    <row r="155" customFormat="false" ht="30" hidden="false" customHeight="true" outlineLevel="0" collapsed="false">
      <c r="B155" s="38" t="n">
        <v>19</v>
      </c>
      <c r="C155" s="38" t="s">
        <v>189</v>
      </c>
      <c r="D155" s="39" t="s">
        <v>190</v>
      </c>
      <c r="E155" s="39" t="s">
        <v>440</v>
      </c>
      <c r="F155" s="38"/>
    </row>
    <row r="156" customFormat="false" ht="46.5" hidden="false" customHeight="true" outlineLevel="0" collapsed="false">
      <c r="B156" s="32" t="n">
        <v>1</v>
      </c>
      <c r="C156" s="32" t="s">
        <v>478</v>
      </c>
      <c r="D156" s="33" t="s">
        <v>479</v>
      </c>
      <c r="E156" s="33" t="s">
        <v>480</v>
      </c>
      <c r="F156" s="7" t="n">
        <v>2648000</v>
      </c>
      <c r="G156" s="41" t="str">
        <f aca="false">'Referensi Harga'!$G$57</f>
        <v>Panel 550 Wp mono SNI: Rp 2.600.000–4.000.000/unit</v>
      </c>
      <c r="H156" s="22" t="str">
        <f aca="false">'Referensi Harga'!$J$57</f>
        <v>SUDAH DITERAPKAN (v5): komponen modul PV ITM-21.1 diperbarui ke panel SNI Rp 2.648.000 (Solana, Shopee).</v>
      </c>
    </row>
    <row r="157" customFormat="false" ht="15" hidden="false" customHeight="true" outlineLevel="0" collapsed="false">
      <c r="B157" s="32" t="n">
        <v>2</v>
      </c>
      <c r="C157" s="32" t="s">
        <v>481</v>
      </c>
      <c r="D157" s="33" t="s">
        <v>482</v>
      </c>
      <c r="E157" s="33" t="s">
        <v>483</v>
      </c>
      <c r="F157" s="7" t="n">
        <v>100000</v>
      </c>
    </row>
    <row r="158" customFormat="false" ht="30" hidden="false" customHeight="true" outlineLevel="0" collapsed="false">
      <c r="B158" s="32" t="n">
        <v>3</v>
      </c>
      <c r="C158" s="32" t="s">
        <v>484</v>
      </c>
      <c r="D158" s="33" t="s">
        <v>485</v>
      </c>
      <c r="E158" s="33" t="s">
        <v>486</v>
      </c>
      <c r="F158" s="7" t="n">
        <v>80000</v>
      </c>
    </row>
    <row r="159" customFormat="false" ht="60" hidden="false" customHeight="true" outlineLevel="0" collapsed="false">
      <c r="B159" s="32" t="n">
        <v>4</v>
      </c>
      <c r="C159" s="32" t="s">
        <v>487</v>
      </c>
      <c r="D159" s="33" t="s">
        <v>488</v>
      </c>
      <c r="E159" s="33" t="s">
        <v>489</v>
      </c>
      <c r="F159" s="7" t="n">
        <v>400000</v>
      </c>
      <c r="G159" s="41" t="str">
        <f aca="false">'Referensi Harga'!$G$80</f>
        <v>Panel ± 30 kg &amp; 2,27 × 1,13 m (koli panjang): 30 kg × Rp 5.000–7.500/kg = Rp 150–225rb + packing kayu + asuransi (min Rp 125rb/kiriman) + handling/oversize</v>
      </c>
      <c r="H159" s="22" t="str">
        <f aca="false">'Referensi Harga'!$J$80</f>
        <v>DITERAPKAN (v6): ITM-21.4 = Rp 400rb/unit (pengiriman batch 5 panel/paket). Jika dikirim tunggal/retail, ongkir per unit mendekati batas atas kisaran.</v>
      </c>
    </row>
    <row r="160" customFormat="false" ht="15" hidden="false" customHeight="true" outlineLevel="0" collapsed="false">
      <c r="B160" s="32" t="n">
        <v>5</v>
      </c>
      <c r="C160" s="32" t="s">
        <v>490</v>
      </c>
      <c r="D160" s="33" t="s">
        <v>257</v>
      </c>
      <c r="E160" s="33" t="s">
        <v>491</v>
      </c>
      <c r="F160" s="7" t="n">
        <v>170000</v>
      </c>
    </row>
    <row r="161" customFormat="false" ht="15" hidden="false" customHeight="true" outlineLevel="0" collapsed="false">
      <c r="B161" s="40"/>
      <c r="C161" s="40"/>
      <c r="D161" s="40" t="s">
        <v>492</v>
      </c>
      <c r="E161" s="40" t="s">
        <v>493</v>
      </c>
      <c r="F161" s="10" t="n">
        <f aca="false">SUM(F156:F160)</f>
        <v>3398000</v>
      </c>
    </row>
    <row r="162" customFormat="false" ht="42" hidden="false" customHeight="true" outlineLevel="0" collapsed="false">
      <c r="B162" s="38" t="n">
        <v>20</v>
      </c>
      <c r="C162" s="38" t="s">
        <v>191</v>
      </c>
      <c r="D162" s="39" t="s">
        <v>192</v>
      </c>
      <c r="E162" s="39" t="s">
        <v>462</v>
      </c>
      <c r="F162" s="38"/>
    </row>
    <row r="163" customFormat="false" ht="15" hidden="false" customHeight="true" outlineLevel="0" collapsed="false">
      <c r="B163" s="32" t="n">
        <v>1</v>
      </c>
      <c r="C163" s="32" t="s">
        <v>494</v>
      </c>
      <c r="D163" s="33" t="s">
        <v>495</v>
      </c>
      <c r="E163" s="33" t="s">
        <v>496</v>
      </c>
      <c r="F163" s="7" t="n">
        <v>800000</v>
      </c>
    </row>
    <row r="164" customFormat="false" ht="15" hidden="false" customHeight="true" outlineLevel="0" collapsed="false">
      <c r="B164" s="32" t="n">
        <v>2</v>
      </c>
      <c r="C164" s="32" t="s">
        <v>497</v>
      </c>
      <c r="D164" s="33" t="s">
        <v>498</v>
      </c>
      <c r="E164" s="33" t="s">
        <v>499</v>
      </c>
      <c r="F164" s="7" t="n">
        <v>300000</v>
      </c>
    </row>
    <row r="165" customFormat="false" ht="46.5" hidden="false" customHeight="true" outlineLevel="0" collapsed="false">
      <c r="B165" s="32" t="n">
        <v>3</v>
      </c>
      <c r="C165" s="32" t="s">
        <v>500</v>
      </c>
      <c r="D165" s="33" t="s">
        <v>501</v>
      </c>
      <c r="E165" s="33" t="s">
        <v>502</v>
      </c>
      <c r="F165" s="7" t="n">
        <v>700000</v>
      </c>
      <c r="G165" s="41" t="str">
        <f aca="false">'Referensi Harga'!$G$61</f>
        <v>Upah instalasi listrik/mekanikal — AHSP Cipta Karya</v>
      </c>
      <c r="H165" s="22" t="str">
        <f aca="false">'Referensi Harga'!$J$61</f>
        <v>Basis upah instalasi; material kabel/grounding dirinci terpisah di sheet Rincian Harga.</v>
      </c>
    </row>
    <row r="166" customFormat="false" ht="15" hidden="false" customHeight="true" outlineLevel="0" collapsed="false">
      <c r="B166" s="32" t="n">
        <v>4</v>
      </c>
      <c r="C166" s="32" t="s">
        <v>503</v>
      </c>
      <c r="D166" s="33" t="s">
        <v>504</v>
      </c>
      <c r="E166" s="33" t="s">
        <v>505</v>
      </c>
      <c r="F166" s="7" t="n">
        <v>300000</v>
      </c>
    </row>
    <row r="167" customFormat="false" ht="15" hidden="false" customHeight="true" outlineLevel="0" collapsed="false">
      <c r="B167" s="32" t="n">
        <v>5</v>
      </c>
      <c r="C167" s="32" t="s">
        <v>506</v>
      </c>
      <c r="D167" s="33" t="s">
        <v>507</v>
      </c>
      <c r="E167" s="33" t="s">
        <v>508</v>
      </c>
      <c r="F167" s="7" t="n">
        <v>150000</v>
      </c>
    </row>
    <row r="168" customFormat="false" ht="15" hidden="false" customHeight="true" outlineLevel="0" collapsed="false">
      <c r="B168" s="32" t="n">
        <v>6</v>
      </c>
      <c r="C168" s="32" t="s">
        <v>509</v>
      </c>
      <c r="D168" s="33" t="s">
        <v>257</v>
      </c>
      <c r="E168" s="33" t="s">
        <v>510</v>
      </c>
      <c r="F168" s="7" t="n">
        <v>250000</v>
      </c>
    </row>
    <row r="169" customFormat="false" ht="15" hidden="false" customHeight="true" outlineLevel="0" collapsed="false">
      <c r="B169" s="40"/>
      <c r="C169" s="40"/>
      <c r="D169" s="40" t="s">
        <v>511</v>
      </c>
      <c r="E169" s="40" t="s">
        <v>512</v>
      </c>
      <c r="F169" s="10" t="n">
        <f aca="false">SUM(F163:F168)</f>
        <v>2500000</v>
      </c>
    </row>
    <row r="170" customFormat="false" ht="15" hidden="false" customHeight="false" outlineLevel="0" collapsed="false"/>
    <row r="171" customFormat="false" ht="21.75" hidden="false" customHeight="true" outlineLevel="0" collapsed="false">
      <c r="B171" s="37" t="s">
        <v>513</v>
      </c>
      <c r="C171" s="37"/>
      <c r="D171" s="37"/>
      <c r="E171" s="37"/>
      <c r="F171" s="37"/>
    </row>
    <row r="172" customFormat="false" ht="42" hidden="false" customHeight="true" outlineLevel="0" collapsed="false">
      <c r="B172" s="38" t="n">
        <v>21</v>
      </c>
      <c r="C172" s="38" t="s">
        <v>193</v>
      </c>
      <c r="D172" s="39" t="s">
        <v>195</v>
      </c>
      <c r="E172" s="39" t="s">
        <v>440</v>
      </c>
      <c r="F172" s="38"/>
    </row>
    <row r="173" customFormat="false" ht="46.5" hidden="false" customHeight="true" outlineLevel="0" collapsed="false">
      <c r="B173" s="32" t="n">
        <v>1</v>
      </c>
      <c r="C173" s="32" t="s">
        <v>514</v>
      </c>
      <c r="D173" s="33" t="s">
        <v>515</v>
      </c>
      <c r="E173" s="33" t="s">
        <v>516</v>
      </c>
      <c r="F173" s="7" t="n">
        <v>22400000</v>
      </c>
      <c r="G173" s="41" t="str">
        <f aca="false">'Referensi Harga'!$G$63</f>
        <v>Mesin Jiangdong JD330 35HP: Rp 22.400.000</v>
      </c>
      <c r="H173" s="22" t="str">
        <f aca="false">'Referensi Harga'!$J$63</f>
        <v>SUDAH DITERAPKAN (v5): komponen mesin ITM-17.1 diperbarui ke Rp 22.400.000 (harga mesin terendah pasar).</v>
      </c>
    </row>
    <row r="174" customFormat="false" ht="15" hidden="false" customHeight="true" outlineLevel="0" collapsed="false">
      <c r="B174" s="32" t="n">
        <v>2</v>
      </c>
      <c r="C174" s="32" t="s">
        <v>517</v>
      </c>
      <c r="D174" s="33" t="s">
        <v>518</v>
      </c>
      <c r="E174" s="33" t="s">
        <v>519</v>
      </c>
      <c r="F174" s="7" t="n">
        <v>400000</v>
      </c>
    </row>
    <row r="175" customFormat="false" ht="15" hidden="false" customHeight="true" outlineLevel="0" collapsed="false">
      <c r="B175" s="32" t="n">
        <v>3</v>
      </c>
      <c r="C175" s="32" t="s">
        <v>520</v>
      </c>
      <c r="D175" s="33" t="s">
        <v>521</v>
      </c>
      <c r="E175" s="33" t="s">
        <v>522</v>
      </c>
      <c r="F175" s="7" t="n">
        <v>600000</v>
      </c>
    </row>
    <row r="176" customFormat="false" ht="60" hidden="false" customHeight="true" outlineLevel="0" collapsed="false">
      <c r="B176" s="32" t="n">
        <v>4</v>
      </c>
      <c r="C176" s="32" t="s">
        <v>523</v>
      </c>
      <c r="D176" s="33" t="s">
        <v>524</v>
      </c>
      <c r="E176" s="33" t="s">
        <v>525</v>
      </c>
      <c r="F176" s="7" t="n">
        <v>2000000</v>
      </c>
      <c r="G176" s="41" t="str">
        <f aca="false">'Referensi Harga'!$G$82</f>
        <v>Mesin ± 270 kg (Tokopedia/Sentrafog) + packing ≈ 300 kg × Rp 5.000–7.500/kg = Rp 1,5–2,25 jt + bongkar-muat mesin berat &amp; antar lokasi</v>
      </c>
      <c r="H176" s="22" t="str">
        <f aca="false">'Referensi Harga'!$J$82</f>
        <v>DITERAPKAN (v6): ITM-17.4 = Rp 2 jt/unit. Studi kasus nyata SNG Logistic: mesin pompa total 450 kg dikirim Rp 4.500/kg (7-10 hari).</v>
      </c>
    </row>
    <row r="177" customFormat="false" ht="15" hidden="false" customHeight="true" outlineLevel="0" collapsed="false">
      <c r="B177" s="32" t="n">
        <v>5</v>
      </c>
      <c r="C177" s="32" t="s">
        <v>526</v>
      </c>
      <c r="D177" s="33" t="s">
        <v>257</v>
      </c>
      <c r="E177" s="33" t="s">
        <v>527</v>
      </c>
      <c r="F177" s="7" t="n">
        <v>800000</v>
      </c>
    </row>
    <row r="178" customFormat="false" ht="15" hidden="false" customHeight="true" outlineLevel="0" collapsed="false">
      <c r="B178" s="40"/>
      <c r="C178" s="40"/>
      <c r="D178" s="40" t="s">
        <v>528</v>
      </c>
      <c r="E178" s="40" t="s">
        <v>529</v>
      </c>
      <c r="F178" s="10" t="n">
        <f aca="false">SUM(F173:F177)</f>
        <v>26200000</v>
      </c>
    </row>
    <row r="179" customFormat="false" ht="30" hidden="false" customHeight="true" outlineLevel="0" collapsed="false">
      <c r="B179" s="38" t="n">
        <v>22</v>
      </c>
      <c r="C179" s="38" t="s">
        <v>196</v>
      </c>
      <c r="D179" s="39" t="s">
        <v>197</v>
      </c>
      <c r="E179" s="39" t="s">
        <v>462</v>
      </c>
      <c r="F179" s="38"/>
    </row>
    <row r="180" customFormat="false" ht="46.5" hidden="false" customHeight="true" outlineLevel="0" collapsed="false">
      <c r="B180" s="32" t="n">
        <v>1</v>
      </c>
      <c r="C180" s="32" t="s">
        <v>530</v>
      </c>
      <c r="D180" s="33" t="s">
        <v>531</v>
      </c>
      <c r="E180" s="33" t="s">
        <v>532</v>
      </c>
      <c r="F180" s="7" t="n">
        <v>600000</v>
      </c>
      <c r="G180" s="41" t="str">
        <f aca="false">'Referensi Harga'!$G$68</f>
        <v>Komponen instalasi pompa: pipa hisap/lepas + fitting + kaki vakum</v>
      </c>
      <c r="H180" s="22" t="str">
        <f aca="false">'Referensi Harga'!$J$68</f>
        <v>Struktur komponen pembanding; upah instalasi = estimasi internal berbasis upah lokal Tebo.</v>
      </c>
    </row>
    <row r="181" customFormat="false" ht="15" hidden="false" customHeight="true" outlineLevel="0" collapsed="false">
      <c r="B181" s="32" t="n">
        <v>2</v>
      </c>
      <c r="C181" s="32" t="s">
        <v>533</v>
      </c>
      <c r="D181" s="33" t="s">
        <v>534</v>
      </c>
      <c r="E181" s="33" t="s">
        <v>535</v>
      </c>
      <c r="F181" s="7" t="n">
        <v>250000</v>
      </c>
    </row>
    <row r="182" customFormat="false" ht="15" hidden="false" customHeight="true" outlineLevel="0" collapsed="false">
      <c r="B182" s="32" t="n">
        <v>3</v>
      </c>
      <c r="C182" s="32" t="s">
        <v>536</v>
      </c>
      <c r="D182" s="33" t="s">
        <v>537</v>
      </c>
      <c r="E182" s="33" t="s">
        <v>252</v>
      </c>
      <c r="F182" s="7" t="n">
        <v>400000</v>
      </c>
    </row>
    <row r="183" customFormat="false" ht="15" hidden="false" customHeight="true" outlineLevel="0" collapsed="false">
      <c r="B183" s="32" t="n">
        <v>4</v>
      </c>
      <c r="C183" s="32" t="s">
        <v>538</v>
      </c>
      <c r="D183" s="33" t="s">
        <v>539</v>
      </c>
      <c r="E183" s="33" t="s">
        <v>505</v>
      </c>
      <c r="F183" s="7" t="n">
        <v>150000</v>
      </c>
    </row>
    <row r="184" customFormat="false" ht="15" hidden="false" customHeight="true" outlineLevel="0" collapsed="false">
      <c r="B184" s="32" t="n">
        <v>5</v>
      </c>
      <c r="C184" s="32" t="s">
        <v>540</v>
      </c>
      <c r="D184" s="33" t="s">
        <v>257</v>
      </c>
      <c r="E184" s="33" t="s">
        <v>285</v>
      </c>
      <c r="F184" s="7" t="n">
        <v>100000</v>
      </c>
    </row>
    <row r="185" customFormat="false" ht="15" hidden="false" customHeight="true" outlineLevel="0" collapsed="false">
      <c r="B185" s="40"/>
      <c r="C185" s="40"/>
      <c r="D185" s="40" t="s">
        <v>541</v>
      </c>
      <c r="E185" s="40" t="s">
        <v>542</v>
      </c>
      <c r="F185" s="10" t="n">
        <f aca="false">SUM(F180:F184)</f>
        <v>1500000</v>
      </c>
    </row>
    <row r="186" customFormat="false" ht="30" hidden="false" customHeight="true" outlineLevel="0" collapsed="false">
      <c r="B186" s="38" t="n">
        <v>23</v>
      </c>
      <c r="C186" s="38" t="s">
        <v>198</v>
      </c>
      <c r="D186" s="39" t="s">
        <v>199</v>
      </c>
      <c r="E186" s="39" t="s">
        <v>440</v>
      </c>
      <c r="F186" s="38"/>
    </row>
    <row r="187" customFormat="false" ht="46.5" hidden="false" customHeight="true" outlineLevel="0" collapsed="false">
      <c r="B187" s="32" t="n">
        <v>1</v>
      </c>
      <c r="C187" s="32" t="s">
        <v>543</v>
      </c>
      <c r="D187" s="33" t="s">
        <v>544</v>
      </c>
      <c r="E187" s="33" t="s">
        <v>545</v>
      </c>
      <c r="F187" s="7" t="n">
        <v>4300000</v>
      </c>
      <c r="G187" s="41" t="str">
        <f aca="false">'Referensi Harga'!$G$69</f>
        <v>Set pompa submersible 4" 5,5HP 4kW: Rp 6.100.000–10.380.000</v>
      </c>
      <c r="H187" s="22" t="str">
        <f aca="false">'Referensi Harga'!$J$69</f>
        <v>SUDAH DITERAPKAN (v5): total item ITM-24 dinaikkan ke Rp 6,1 jt (set lengkap terendah) — komponen pompa Rp 4,3 jt.</v>
      </c>
    </row>
    <row r="188" customFormat="false" ht="15" hidden="false" customHeight="true" outlineLevel="0" collapsed="false">
      <c r="B188" s="32" t="n">
        <v>2</v>
      </c>
      <c r="C188" s="32" t="s">
        <v>546</v>
      </c>
      <c r="D188" s="33" t="s">
        <v>451</v>
      </c>
      <c r="E188" s="33" t="s">
        <v>547</v>
      </c>
      <c r="F188" s="7" t="n">
        <v>800000</v>
      </c>
    </row>
    <row r="189" customFormat="false" ht="15" hidden="false" customHeight="true" outlineLevel="0" collapsed="false">
      <c r="B189" s="32" t="n">
        <v>3</v>
      </c>
      <c r="C189" s="32" t="s">
        <v>548</v>
      </c>
      <c r="D189" s="33" t="s">
        <v>549</v>
      </c>
      <c r="E189" s="33" t="s">
        <v>468</v>
      </c>
      <c r="F189" s="7" t="n">
        <v>400000</v>
      </c>
    </row>
    <row r="190" customFormat="false" ht="60" hidden="false" customHeight="true" outlineLevel="0" collapsed="false">
      <c r="B190" s="32" t="n">
        <v>4</v>
      </c>
      <c r="C190" s="32" t="s">
        <v>550</v>
      </c>
      <c r="D190" s="33" t="s">
        <v>551</v>
      </c>
      <c r="E190" s="33" t="s">
        <v>552</v>
      </c>
      <c r="F190" s="7" t="n">
        <v>700000</v>
      </c>
      <c r="G190" s="41" t="str">
        <f aca="false">'Referensi Harga'!$G$78</f>
        <v>Muara Tebo Rp 7.500/kg darat; Kota Jambi Rp 3.750/kg; Muara Bulian Rp 6.500/kg</v>
      </c>
      <c r="H190" s="22" t="str">
        <f aca="false">'Referensi Harga'!$J$78</f>
        <v>Tabel resmi (dikutip 11 Sep 2026) — batas atas kisaran ongkir ke Tebo.</v>
      </c>
    </row>
    <row r="191" customFormat="false" ht="15" hidden="false" customHeight="true" outlineLevel="0" collapsed="false">
      <c r="B191" s="32" t="n">
        <v>5</v>
      </c>
      <c r="C191" s="32" t="s">
        <v>553</v>
      </c>
      <c r="D191" s="33" t="s">
        <v>257</v>
      </c>
      <c r="E191" s="33" t="s">
        <v>554</v>
      </c>
      <c r="F191" s="7" t="n">
        <v>300000</v>
      </c>
    </row>
    <row r="192" customFormat="false" ht="15" hidden="false" customHeight="true" outlineLevel="0" collapsed="false">
      <c r="B192" s="40"/>
      <c r="C192" s="40"/>
      <c r="D192" s="40" t="s">
        <v>555</v>
      </c>
      <c r="E192" s="40" t="s">
        <v>556</v>
      </c>
      <c r="F192" s="10" t="n">
        <f aca="false">SUM(F187:F191)</f>
        <v>6500000</v>
      </c>
    </row>
    <row r="193" customFormat="false" ht="30" hidden="false" customHeight="true" outlineLevel="0" collapsed="false">
      <c r="B193" s="38" t="n">
        <v>24</v>
      </c>
      <c r="C193" s="38" t="s">
        <v>200</v>
      </c>
      <c r="D193" s="39" t="s">
        <v>201</v>
      </c>
      <c r="E193" s="39" t="s">
        <v>462</v>
      </c>
      <c r="F193" s="38"/>
    </row>
    <row r="194" customFormat="false" ht="46.5" hidden="false" customHeight="true" outlineLevel="0" collapsed="false">
      <c r="B194" s="32" t="n">
        <v>1</v>
      </c>
      <c r="C194" s="32" t="s">
        <v>557</v>
      </c>
      <c r="D194" s="33" t="s">
        <v>558</v>
      </c>
      <c r="E194" s="33" t="s">
        <v>559</v>
      </c>
      <c r="F194" s="7" t="n">
        <v>1260000</v>
      </c>
      <c r="G194" s="41" t="str">
        <f aca="false">'Referensi Harga'!$G$72</f>
        <v>Kabel NYM 2×4 mm SNI: Rp 23.000–27.000/m (eceran)</v>
      </c>
      <c r="H194" s="22" t="str">
        <f aca="false">'Referensi Harga'!$J$72</f>
        <v>SUDAH DITERAPKAN (v5): komponen kabel ITM-25.1 diperbarui ke roll SNI 50 m ± Rp 1,26 jt (≈ Rp 25.200/m).</v>
      </c>
    </row>
    <row r="195" customFormat="false" ht="15" hidden="false" customHeight="true" outlineLevel="0" collapsed="false">
      <c r="B195" s="32" t="n">
        <v>2</v>
      </c>
      <c r="C195" s="32" t="s">
        <v>560</v>
      </c>
      <c r="D195" s="33" t="s">
        <v>561</v>
      </c>
      <c r="E195" s="33" t="s">
        <v>562</v>
      </c>
      <c r="F195" s="7" t="n">
        <v>350000</v>
      </c>
    </row>
    <row r="196" customFormat="false" ht="15" hidden="false" customHeight="true" outlineLevel="0" collapsed="false">
      <c r="B196" s="32" t="n">
        <v>3</v>
      </c>
      <c r="C196" s="32" t="s">
        <v>563</v>
      </c>
      <c r="D196" s="33" t="s">
        <v>564</v>
      </c>
      <c r="E196" s="33" t="s">
        <v>499</v>
      </c>
      <c r="F196" s="7" t="n">
        <v>250000</v>
      </c>
    </row>
    <row r="197" customFormat="false" ht="15" hidden="false" customHeight="true" outlineLevel="0" collapsed="false">
      <c r="B197" s="32" t="n">
        <v>4</v>
      </c>
      <c r="C197" s="32" t="s">
        <v>565</v>
      </c>
      <c r="D197" s="33" t="s">
        <v>566</v>
      </c>
      <c r="E197" s="33" t="s">
        <v>502</v>
      </c>
      <c r="F197" s="7" t="n">
        <v>300000</v>
      </c>
    </row>
    <row r="198" customFormat="false" ht="15" hidden="false" customHeight="true" outlineLevel="0" collapsed="false">
      <c r="B198" s="32" t="n">
        <v>5</v>
      </c>
      <c r="C198" s="32" t="s">
        <v>567</v>
      </c>
      <c r="D198" s="33" t="s">
        <v>568</v>
      </c>
      <c r="E198" s="33" t="s">
        <v>569</v>
      </c>
      <c r="F198" s="7" t="n">
        <v>100000</v>
      </c>
    </row>
    <row r="199" customFormat="false" ht="15" hidden="false" customHeight="true" outlineLevel="0" collapsed="false">
      <c r="B199" s="32" t="n">
        <v>6</v>
      </c>
      <c r="C199" s="32" t="s">
        <v>570</v>
      </c>
      <c r="D199" s="33" t="s">
        <v>257</v>
      </c>
      <c r="E199" s="33" t="s">
        <v>571</v>
      </c>
      <c r="F199" s="7" t="n">
        <v>100000</v>
      </c>
    </row>
    <row r="200" customFormat="false" ht="15" hidden="false" customHeight="true" outlineLevel="0" collapsed="false">
      <c r="B200" s="40"/>
      <c r="C200" s="40"/>
      <c r="D200" s="40" t="s">
        <v>572</v>
      </c>
      <c r="E200" s="40" t="s">
        <v>573</v>
      </c>
      <c r="F200" s="10" t="n">
        <f aca="false">SUM(F194:F199)</f>
        <v>2360000</v>
      </c>
    </row>
    <row r="201" customFormat="false" ht="30" hidden="false" customHeight="true" outlineLevel="0" collapsed="false">
      <c r="B201" s="38" t="n">
        <v>25</v>
      </c>
      <c r="C201" s="38" t="s">
        <v>202</v>
      </c>
      <c r="D201" s="39" t="s">
        <v>203</v>
      </c>
      <c r="E201" s="39" t="s">
        <v>462</v>
      </c>
      <c r="F201" s="38"/>
    </row>
    <row r="202" customFormat="false" ht="33" hidden="false" customHeight="true" outlineLevel="0" collapsed="false">
      <c r="B202" s="32" t="n">
        <v>1</v>
      </c>
      <c r="C202" s="32" t="s">
        <v>574</v>
      </c>
      <c r="D202" s="33" t="s">
        <v>575</v>
      </c>
      <c r="E202" s="33" t="s">
        <v>502</v>
      </c>
      <c r="F202" s="7" t="n">
        <v>250000</v>
      </c>
      <c r="G202" s="41" t="str">
        <f aca="false">'Referensi Harga'!$G$74</f>
        <v>Upah pemasangan pompa submersible = upah teknisi lokal</v>
      </c>
      <c r="H202" s="22" t="str">
        <f aca="false">'Referensi Harga'!$J$74</f>
        <v>Estimasi internal; item bernilai kecil (&lt; Rp 500rb).</v>
      </c>
    </row>
    <row r="203" customFormat="false" ht="15" hidden="false" customHeight="true" outlineLevel="0" collapsed="false">
      <c r="B203" s="32" t="n">
        <v>2</v>
      </c>
      <c r="C203" s="32" t="s">
        <v>576</v>
      </c>
      <c r="D203" s="33" t="s">
        <v>577</v>
      </c>
      <c r="E203" s="33" t="s">
        <v>468</v>
      </c>
      <c r="F203" s="7" t="n">
        <v>100000</v>
      </c>
    </row>
    <row r="204" customFormat="false" ht="15" hidden="false" customHeight="true" outlineLevel="0" collapsed="false">
      <c r="B204" s="32" t="n">
        <v>3</v>
      </c>
      <c r="C204" s="32" t="s">
        <v>578</v>
      </c>
      <c r="D204" s="33" t="s">
        <v>579</v>
      </c>
      <c r="E204" s="33" t="s">
        <v>474</v>
      </c>
      <c r="F204" s="7" t="n">
        <v>100000</v>
      </c>
    </row>
    <row r="205" customFormat="false" ht="15" hidden="false" customHeight="true" outlineLevel="0" collapsed="false">
      <c r="B205" s="32" t="n">
        <v>4</v>
      </c>
      <c r="C205" s="32" t="s">
        <v>580</v>
      </c>
      <c r="D205" s="33" t="s">
        <v>257</v>
      </c>
      <c r="E205" s="33" t="s">
        <v>510</v>
      </c>
      <c r="F205" s="7" t="n">
        <v>50000</v>
      </c>
    </row>
    <row r="206" customFormat="false" ht="15" hidden="false" customHeight="true" outlineLevel="0" collapsed="false">
      <c r="B206" s="40"/>
      <c r="C206" s="40"/>
      <c r="D206" s="40" t="s">
        <v>581</v>
      </c>
      <c r="E206" s="40" t="s">
        <v>582</v>
      </c>
      <c r="F206" s="10" t="n">
        <f aca="false">SUM(F202:F205)</f>
        <v>500000</v>
      </c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G21" r:id="rId1" display="https://www.lamudi.co.id/"/>
    <hyperlink ref="G23" r:id="rId2" display="https://juraganmaterial.id/"/>
    <hyperlink ref="G30" r:id="rId3" display="https://shopee.co.id/search?keyword=pipa%20pvc%20aw%202%20inch%204%20meter"/>
    <hyperlink ref="G37" r:id="rId4" display="https://www.aquatechindonesia.net/product/silika-sand-dan-silika-gravel/"/>
    <hyperlink ref="G44" r:id="rId5" display="https://www.detik.com/properti/berita/d-7632414/harga-semen-termurah-hingga-termahal-per-sak-2024"/>
    <hyperlink ref="G58" r:id="rId6" display="https://www.lamudi.co.id/"/>
    <hyperlink ref="G67" r:id="rId7" display="https://www.klopmart.com/"/>
    <hyperlink ref="G76" r:id="rId8" display="https://www.detik.com/"/>
    <hyperlink ref="G85" r:id="rId9" display="https://www.lamudi.co.id/"/>
    <hyperlink ref="G93" r:id="rId10" display="https://www.medcom.id/properti/news-properti/zNPl0RWN-kisaran-upah-jasa-cor-beton-2024"/>
    <hyperlink ref="G95" r:id="rId11" display="https://www.brighton.co.id/about/articles-all/harga-borongan-cor-beton-manual-untuk-proyek-konstruksi"/>
    <hyperlink ref="G97" r:id="rId12" display="https://www.99.co/"/>
    <hyperlink ref="G100" r:id="rId13" display="https://id.scribd.com/"/>
    <hyperlink ref="G102" r:id="rId14" display="https://www.detik.com/"/>
    <hyperlink ref="G107" r:id="rId15" display="https://www.tokopedia.com/find/batu-kali-pondasi"/>
    <hyperlink ref="G117" r:id="rId16" display="https://www.pinhome.id/"/>
    <hyperlink ref="G125" r:id="rId17" display="https://www.99.co/id/panduan/harga-borongan-cor-beton"/>
    <hyperlink ref="G129" r:id="rId18" display="https://www.tokopedia.com/find/hollow-galvanis"/>
    <hyperlink ref="G140" r:id="rId19" display="https://shopee.co.id/search?keyword=pompa%20satelit%203%20inch%202%20hp"/>
    <hyperlink ref="G141" r:id="rId20" display="https://www.tokopedia.com/find/inverter-solar-pump"/>
    <hyperlink ref="G145" r:id="rId21" display="https://riskargo.com/cek-tarif/ekspedisi-jakarta-jambi"/>
    <hyperlink ref="G149" r:id="rId22" display="https://id.scribd.com/"/>
    <hyperlink ref="G156" r:id="rId23" display="https://www.tokopedia.com/find/solar-panel-550wp"/>
    <hyperlink ref="G159" r:id="rId24" display="https://riskargo.com/cek-tarif/ekspedisi-jakarta-jambi"/>
    <hyperlink ref="G165" r:id="rId25" display="https://binakonstruksi.pu.go.id/"/>
    <hyperlink ref="G173" r:id="rId26" display="https://www.lazada.co.id/tag/mesin-diesel-jd-330"/>
    <hyperlink ref="G176" r:id="rId27" display="https://snglogistic.com/"/>
    <hyperlink ref="G180" r:id="rId28" display="https://id.scribd.com/"/>
    <hyperlink ref="G187" r:id="rId29" display="https://www.tokopedia.com/find/pompa-submersible-4-inch-5-5hp"/>
    <hyperlink ref="G190" r:id="rId30" display="https://snglogistic.com/tarif-pengiriman-jakarta-jambi.html"/>
    <hyperlink ref="G194" r:id="rId31" display="https://www.lazada.co.id/catalog/?q=kabel%20nym%202x4%20meteran"/>
    <hyperlink ref="G202" r:id="rId32" display="https://id.scribd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1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4"/>
    <col collapsed="false" customWidth="true" hidden="false" outlineLevel="0" max="9" min="9" style="1" width="60"/>
    <col collapsed="false" customWidth="true" hidden="false" outlineLevel="0" max="10" min="10" style="1" width="40"/>
  </cols>
  <sheetData>
    <row r="1" customFormat="false" ht="15" hidden="false" customHeight="false" outlineLevel="0" collapsed="false"/>
    <row r="2" customFormat="false" ht="30" hidden="false" customHeight="true" outlineLevel="0" collapsed="false">
      <c r="B2" s="13" t="s">
        <v>583</v>
      </c>
      <c r="C2" s="13"/>
      <c r="D2" s="13"/>
      <c r="E2" s="13"/>
      <c r="F2" s="13"/>
      <c r="G2" s="13"/>
      <c r="H2" s="13"/>
      <c r="I2" s="13"/>
      <c r="J2" s="13"/>
    </row>
    <row r="3" customFormat="false" ht="15" hidden="false" customHeight="false" outlineLevel="0" collapsed="false"/>
    <row r="4" customFormat="false" ht="30" hidden="false" customHeight="true" outlineLevel="0" collapsed="false">
      <c r="B4" s="3" t="s">
        <v>82</v>
      </c>
      <c r="C4" s="14" t="s">
        <v>584</v>
      </c>
      <c r="D4" s="14"/>
      <c r="E4" s="14"/>
      <c r="F4" s="14"/>
      <c r="G4" s="14"/>
      <c r="H4" s="14"/>
      <c r="I4" s="14"/>
      <c r="J4" s="14"/>
    </row>
    <row r="5" customFormat="false" ht="30" hidden="false" customHeight="true" outlineLevel="0" collapsed="false">
      <c r="B5" s="3" t="s">
        <v>84</v>
      </c>
      <c r="C5" s="14" t="s">
        <v>585</v>
      </c>
      <c r="D5" s="14"/>
      <c r="E5" s="14"/>
      <c r="F5" s="14"/>
      <c r="G5" s="14"/>
      <c r="H5" s="14"/>
      <c r="I5" s="14"/>
      <c r="J5" s="14"/>
    </row>
    <row r="6" customFormat="false" ht="30" hidden="false" customHeight="true" outlineLevel="0" collapsed="false">
      <c r="B6" s="3" t="s">
        <v>586</v>
      </c>
      <c r="C6" s="14" t="s">
        <v>587</v>
      </c>
      <c r="D6" s="14"/>
      <c r="E6" s="14"/>
      <c r="F6" s="14"/>
      <c r="G6" s="14"/>
      <c r="H6" s="14"/>
      <c r="I6" s="14"/>
      <c r="J6" s="14"/>
    </row>
    <row r="7" customFormat="false" ht="30" hidden="false" customHeight="true" outlineLevel="0" collapsed="false">
      <c r="B7" s="3" t="s">
        <v>588</v>
      </c>
      <c r="C7" s="14" t="s">
        <v>589</v>
      </c>
      <c r="D7" s="14"/>
      <c r="E7" s="14"/>
      <c r="F7" s="14"/>
      <c r="G7" s="14"/>
      <c r="H7" s="14"/>
      <c r="I7" s="14"/>
      <c r="J7" s="14"/>
    </row>
    <row r="8" customFormat="false" ht="30" hidden="false" customHeight="true" outlineLevel="0" collapsed="false">
      <c r="B8" s="3" t="s">
        <v>92</v>
      </c>
      <c r="C8" s="14" t="s">
        <v>590</v>
      </c>
      <c r="D8" s="14"/>
      <c r="E8" s="14"/>
      <c r="F8" s="14"/>
      <c r="G8" s="14"/>
      <c r="H8" s="14"/>
      <c r="I8" s="14"/>
      <c r="J8" s="14"/>
    </row>
    <row r="9" customFormat="false" ht="15" hidden="false" customHeight="false" outlineLevel="0" collapsed="false"/>
    <row r="10" customFormat="false" ht="21.75" hidden="false" customHeight="true" outlineLevel="0" collapsed="false">
      <c r="B10" s="42" t="s">
        <v>591</v>
      </c>
      <c r="C10" s="42"/>
      <c r="D10" s="42"/>
      <c r="E10" s="42"/>
      <c r="F10" s="42"/>
      <c r="G10" s="42"/>
      <c r="H10" s="42"/>
      <c r="I10" s="42"/>
      <c r="J10" s="42"/>
    </row>
    <row r="11" customFormat="false" ht="27.75" hidden="false" customHeight="true" outlineLevel="0" collapsed="false">
      <c r="B11" s="43" t="s">
        <v>16</v>
      </c>
      <c r="C11" s="43" t="s">
        <v>592</v>
      </c>
      <c r="D11" s="43" t="s">
        <v>141</v>
      </c>
      <c r="E11" s="43" t="s">
        <v>593</v>
      </c>
      <c r="F11" s="43" t="s">
        <v>594</v>
      </c>
      <c r="G11" s="43" t="s">
        <v>595</v>
      </c>
      <c r="H11" s="43" t="s">
        <v>596</v>
      </c>
      <c r="I11" s="43" t="s">
        <v>597</v>
      </c>
      <c r="J11" s="43" t="s">
        <v>92</v>
      </c>
    </row>
    <row r="12" customFormat="false" ht="21.75" hidden="false" customHeight="true" outlineLevel="0" collapsed="false">
      <c r="B12" s="42" t="s">
        <v>598</v>
      </c>
      <c r="C12" s="42"/>
      <c r="D12" s="42"/>
      <c r="E12" s="42"/>
      <c r="F12" s="42"/>
      <c r="G12" s="42"/>
      <c r="H12" s="42"/>
      <c r="I12" s="42"/>
      <c r="J12" s="42"/>
    </row>
    <row r="13" customFormat="false" ht="66" hidden="false" customHeight="true" outlineLevel="0" collapsed="false">
      <c r="B13" s="44" t="n">
        <v>1</v>
      </c>
      <c r="C13" s="44" t="s">
        <v>599</v>
      </c>
      <c r="D13" s="45" t="s">
        <v>600</v>
      </c>
      <c r="E13" s="44" t="s">
        <v>601</v>
      </c>
      <c r="F13" s="44" t="s">
        <v>601</v>
      </c>
      <c r="G13" s="45" t="s">
        <v>602</v>
      </c>
      <c r="H13" s="45" t="s">
        <v>603</v>
      </c>
      <c r="I13" s="41" t="s">
        <v>604</v>
      </c>
      <c r="J13" s="45" t="s">
        <v>605</v>
      </c>
    </row>
    <row r="14" customFormat="false" ht="36" hidden="false" customHeight="true" outlineLevel="0" collapsed="false">
      <c r="B14" s="44" t="n">
        <v>2</v>
      </c>
      <c r="C14" s="44" t="s">
        <v>599</v>
      </c>
      <c r="D14" s="45" t="s">
        <v>606</v>
      </c>
      <c r="E14" s="44" t="s">
        <v>601</v>
      </c>
      <c r="F14" s="44" t="s">
        <v>601</v>
      </c>
      <c r="G14" s="45" t="s">
        <v>607</v>
      </c>
      <c r="H14" s="45" t="s">
        <v>608</v>
      </c>
      <c r="I14" s="41" t="s">
        <v>609</v>
      </c>
      <c r="J14" s="45" t="s">
        <v>610</v>
      </c>
    </row>
    <row r="15" customFormat="false" ht="36" hidden="false" customHeight="true" outlineLevel="0" collapsed="false">
      <c r="B15" s="44" t="n">
        <v>3</v>
      </c>
      <c r="C15" s="44" t="s">
        <v>599</v>
      </c>
      <c r="D15" s="45" t="s">
        <v>611</v>
      </c>
      <c r="E15" s="44" t="s">
        <v>601</v>
      </c>
      <c r="F15" s="44" t="s">
        <v>601</v>
      </c>
      <c r="G15" s="45" t="s">
        <v>612</v>
      </c>
      <c r="H15" s="45" t="s">
        <v>613</v>
      </c>
      <c r="I15" s="41" t="s">
        <v>614</v>
      </c>
      <c r="J15" s="45" t="s">
        <v>615</v>
      </c>
    </row>
    <row r="16" customFormat="false" ht="51" hidden="false" customHeight="true" outlineLevel="0" collapsed="false">
      <c r="B16" s="44" t="n">
        <v>4</v>
      </c>
      <c r="C16" s="44" t="s">
        <v>599</v>
      </c>
      <c r="D16" s="45" t="s">
        <v>616</v>
      </c>
      <c r="E16" s="44" t="s">
        <v>601</v>
      </c>
      <c r="F16" s="44" t="s">
        <v>601</v>
      </c>
      <c r="G16" s="45" t="s">
        <v>617</v>
      </c>
      <c r="H16" s="45" t="s">
        <v>618</v>
      </c>
      <c r="I16" s="41" t="s">
        <v>619</v>
      </c>
      <c r="J16" s="45" t="s">
        <v>620</v>
      </c>
    </row>
    <row r="17" customFormat="false" ht="51" hidden="false" customHeight="true" outlineLevel="0" collapsed="false">
      <c r="B17" s="44" t="n">
        <v>5</v>
      </c>
      <c r="C17" s="44" t="s">
        <v>599</v>
      </c>
      <c r="D17" s="45" t="s">
        <v>621</v>
      </c>
      <c r="E17" s="44" t="s">
        <v>601</v>
      </c>
      <c r="F17" s="44" t="s">
        <v>601</v>
      </c>
      <c r="G17" s="45" t="s">
        <v>252</v>
      </c>
      <c r="H17" s="45" t="s">
        <v>622</v>
      </c>
      <c r="I17" s="41" t="s">
        <v>623</v>
      </c>
      <c r="J17" s="45" t="s">
        <v>624</v>
      </c>
    </row>
    <row r="18" customFormat="false" ht="36" hidden="false" customHeight="true" outlineLevel="0" collapsed="false">
      <c r="B18" s="44" t="n">
        <v>6</v>
      </c>
      <c r="C18" s="44" t="s">
        <v>599</v>
      </c>
      <c r="D18" s="45" t="s">
        <v>625</v>
      </c>
      <c r="E18" s="44" t="s">
        <v>601</v>
      </c>
      <c r="F18" s="44" t="s">
        <v>601</v>
      </c>
      <c r="G18" s="45" t="s">
        <v>626</v>
      </c>
      <c r="H18" s="45" t="s">
        <v>627</v>
      </c>
      <c r="I18" s="41" t="s">
        <v>623</v>
      </c>
      <c r="J18" s="45" t="s">
        <v>628</v>
      </c>
    </row>
    <row r="19" customFormat="false" ht="21.75" hidden="false" customHeight="true" outlineLevel="0" collapsed="false">
      <c r="B19" s="42" t="s">
        <v>629</v>
      </c>
      <c r="C19" s="42"/>
      <c r="D19" s="42"/>
      <c r="E19" s="42"/>
      <c r="F19" s="42"/>
      <c r="G19" s="42"/>
      <c r="H19" s="42"/>
      <c r="I19" s="42"/>
      <c r="J19" s="42"/>
    </row>
    <row r="20" customFormat="false" ht="51" hidden="false" customHeight="true" outlineLevel="0" collapsed="false">
      <c r="B20" s="44" t="n">
        <v>7</v>
      </c>
      <c r="C20" s="44" t="s">
        <v>144</v>
      </c>
      <c r="D20" s="45" t="s">
        <v>146</v>
      </c>
      <c r="E20" s="44" t="s">
        <v>147</v>
      </c>
      <c r="F20" s="46" t="n">
        <f aca="false">'Master of Price'!$G$12</f>
        <v>352000</v>
      </c>
      <c r="G20" s="45" t="s">
        <v>630</v>
      </c>
      <c r="H20" s="45" t="s">
        <v>631</v>
      </c>
      <c r="I20" s="41" t="s">
        <v>632</v>
      </c>
      <c r="J20" s="45" t="s">
        <v>633</v>
      </c>
    </row>
    <row r="21" customFormat="false" ht="51" hidden="false" customHeight="true" outlineLevel="0" collapsed="false">
      <c r="B21" s="44" t="n">
        <v>8</v>
      </c>
      <c r="C21" s="44" t="s">
        <v>144</v>
      </c>
      <c r="D21" s="45" t="s">
        <v>146</v>
      </c>
      <c r="E21" s="44" t="s">
        <v>147</v>
      </c>
      <c r="F21" s="46" t="n">
        <f aca="false">'Master of Price'!$G$12</f>
        <v>352000</v>
      </c>
      <c r="G21" s="45" t="s">
        <v>634</v>
      </c>
      <c r="H21" s="45" t="s">
        <v>635</v>
      </c>
      <c r="I21" s="41" t="s">
        <v>636</v>
      </c>
      <c r="J21" s="45" t="s">
        <v>637</v>
      </c>
    </row>
    <row r="22" customFormat="false" ht="51" hidden="false" customHeight="true" outlineLevel="0" collapsed="false">
      <c r="B22" s="44" t="n">
        <v>9</v>
      </c>
      <c r="C22" s="44" t="s">
        <v>144</v>
      </c>
      <c r="D22" s="45" t="s">
        <v>146</v>
      </c>
      <c r="E22" s="44" t="s">
        <v>147</v>
      </c>
      <c r="F22" s="46" t="n">
        <f aca="false">'Master of Price'!$G$12</f>
        <v>352000</v>
      </c>
      <c r="G22" s="45" t="s">
        <v>638</v>
      </c>
      <c r="H22" s="45" t="s">
        <v>639</v>
      </c>
      <c r="I22" s="41" t="s">
        <v>640</v>
      </c>
      <c r="J22" s="45" t="s">
        <v>641</v>
      </c>
    </row>
    <row r="23" customFormat="false" ht="66" hidden="false" customHeight="true" outlineLevel="0" collapsed="false">
      <c r="B23" s="44" t="n">
        <v>10</v>
      </c>
      <c r="C23" s="44" t="s">
        <v>148</v>
      </c>
      <c r="D23" s="45" t="s">
        <v>149</v>
      </c>
      <c r="E23" s="44" t="s">
        <v>147</v>
      </c>
      <c r="F23" s="46" t="n">
        <f aca="false">'Master of Price'!$G$13</f>
        <v>214700</v>
      </c>
      <c r="G23" s="45" t="s">
        <v>642</v>
      </c>
      <c r="H23" s="45" t="s">
        <v>643</v>
      </c>
      <c r="I23" s="41" t="s">
        <v>644</v>
      </c>
      <c r="J23" s="45" t="s">
        <v>645</v>
      </c>
    </row>
    <row r="24" customFormat="false" ht="51" hidden="false" customHeight="true" outlineLevel="0" collapsed="false">
      <c r="B24" s="44" t="n">
        <v>11</v>
      </c>
      <c r="C24" s="44" t="s">
        <v>148</v>
      </c>
      <c r="D24" s="45" t="s">
        <v>149</v>
      </c>
      <c r="E24" s="44" t="s">
        <v>147</v>
      </c>
      <c r="F24" s="46" t="n">
        <f aca="false">'Master of Price'!$G$13</f>
        <v>214700</v>
      </c>
      <c r="G24" s="45" t="s">
        <v>646</v>
      </c>
      <c r="H24" s="45" t="s">
        <v>647</v>
      </c>
      <c r="I24" s="41" t="s">
        <v>648</v>
      </c>
      <c r="J24" s="45" t="s">
        <v>649</v>
      </c>
    </row>
    <row r="25" customFormat="false" ht="51" hidden="false" customHeight="true" outlineLevel="0" collapsed="false">
      <c r="B25" s="44" t="n">
        <v>12</v>
      </c>
      <c r="C25" s="44" t="s">
        <v>150</v>
      </c>
      <c r="D25" s="45" t="s">
        <v>151</v>
      </c>
      <c r="E25" s="44" t="s">
        <v>147</v>
      </c>
      <c r="F25" s="46" t="n">
        <f aca="false">'Master of Price'!$G$14</f>
        <v>30750</v>
      </c>
      <c r="G25" s="45" t="s">
        <v>650</v>
      </c>
      <c r="H25" s="45" t="s">
        <v>651</v>
      </c>
      <c r="I25" s="41" t="s">
        <v>652</v>
      </c>
      <c r="J25" s="45" t="s">
        <v>653</v>
      </c>
    </row>
    <row r="26" customFormat="false" ht="36" hidden="false" customHeight="true" outlineLevel="0" collapsed="false">
      <c r="B26" s="44" t="n">
        <v>13</v>
      </c>
      <c r="C26" s="44" t="s">
        <v>150</v>
      </c>
      <c r="D26" s="45" t="s">
        <v>151</v>
      </c>
      <c r="E26" s="44" t="s">
        <v>147</v>
      </c>
      <c r="F26" s="46" t="n">
        <f aca="false">'Master of Price'!$G$14</f>
        <v>30750</v>
      </c>
      <c r="G26" s="45" t="s">
        <v>654</v>
      </c>
      <c r="H26" s="45" t="s">
        <v>655</v>
      </c>
      <c r="I26" s="41" t="s">
        <v>656</v>
      </c>
      <c r="J26" s="45" t="s">
        <v>657</v>
      </c>
    </row>
    <row r="27" customFormat="false" ht="51" hidden="false" customHeight="true" outlineLevel="0" collapsed="false">
      <c r="B27" s="44" t="n">
        <v>14</v>
      </c>
      <c r="C27" s="44" t="s">
        <v>152</v>
      </c>
      <c r="D27" s="45" t="s">
        <v>153</v>
      </c>
      <c r="E27" s="44" t="s">
        <v>147</v>
      </c>
      <c r="F27" s="46" t="n">
        <f aca="false">'Master of Price'!$G$15</f>
        <v>45000</v>
      </c>
      <c r="G27" s="45" t="s">
        <v>658</v>
      </c>
      <c r="H27" s="45" t="s">
        <v>659</v>
      </c>
      <c r="I27" s="41" t="s">
        <v>660</v>
      </c>
      <c r="J27" s="45" t="s">
        <v>661</v>
      </c>
    </row>
    <row r="28" customFormat="false" ht="36" hidden="false" customHeight="true" outlineLevel="0" collapsed="false">
      <c r="B28" s="44" t="n">
        <v>15</v>
      </c>
      <c r="C28" s="44" t="s">
        <v>152</v>
      </c>
      <c r="D28" s="45" t="s">
        <v>153</v>
      </c>
      <c r="E28" s="44" t="s">
        <v>147</v>
      </c>
      <c r="F28" s="46" t="n">
        <f aca="false">'Master of Price'!$G$15</f>
        <v>45000</v>
      </c>
      <c r="G28" s="45" t="s">
        <v>662</v>
      </c>
      <c r="H28" s="45" t="s">
        <v>663</v>
      </c>
      <c r="I28" s="41" t="s">
        <v>664</v>
      </c>
      <c r="J28" s="45" t="s">
        <v>665</v>
      </c>
    </row>
    <row r="29" customFormat="false" ht="51" hidden="false" customHeight="true" outlineLevel="0" collapsed="false">
      <c r="B29" s="44" t="n">
        <v>16</v>
      </c>
      <c r="C29" s="44" t="s">
        <v>154</v>
      </c>
      <c r="D29" s="45" t="s">
        <v>155</v>
      </c>
      <c r="E29" s="44" t="s">
        <v>147</v>
      </c>
      <c r="F29" s="46" t="n">
        <f aca="false">'Master of Price'!$G$16</f>
        <v>75000</v>
      </c>
      <c r="G29" s="45" t="s">
        <v>666</v>
      </c>
      <c r="H29" s="45" t="s">
        <v>667</v>
      </c>
      <c r="I29" s="41" t="s">
        <v>668</v>
      </c>
      <c r="J29" s="45" t="s">
        <v>669</v>
      </c>
    </row>
    <row r="30" customFormat="false" ht="36" hidden="false" customHeight="true" outlineLevel="0" collapsed="false">
      <c r="B30" s="44" t="n">
        <v>17</v>
      </c>
      <c r="C30" s="44" t="s">
        <v>154</v>
      </c>
      <c r="D30" s="45" t="s">
        <v>155</v>
      </c>
      <c r="E30" s="44" t="s">
        <v>147</v>
      </c>
      <c r="F30" s="46" t="n">
        <f aca="false">'Master of Price'!$G$16</f>
        <v>75000</v>
      </c>
      <c r="G30" s="45" t="s">
        <v>670</v>
      </c>
      <c r="H30" s="45" t="s">
        <v>671</v>
      </c>
      <c r="I30" s="41" t="s">
        <v>672</v>
      </c>
      <c r="J30" s="45" t="s">
        <v>673</v>
      </c>
    </row>
    <row r="31" customFormat="false" ht="51" hidden="false" customHeight="true" outlineLevel="0" collapsed="false">
      <c r="B31" s="44" t="n">
        <v>18</v>
      </c>
      <c r="C31" s="44" t="s">
        <v>156</v>
      </c>
      <c r="D31" s="45" t="s">
        <v>157</v>
      </c>
      <c r="E31" s="44" t="s">
        <v>147</v>
      </c>
      <c r="F31" s="46" t="n">
        <f aca="false">'Master of Price'!$G$17</f>
        <v>352000</v>
      </c>
      <c r="G31" s="45" t="s">
        <v>674</v>
      </c>
      <c r="H31" s="45" t="s">
        <v>675</v>
      </c>
      <c r="I31" s="41" t="s">
        <v>632</v>
      </c>
      <c r="J31" s="45" t="s">
        <v>676</v>
      </c>
    </row>
    <row r="32" customFormat="false" ht="51" hidden="false" customHeight="true" outlineLevel="0" collapsed="false">
      <c r="B32" s="44" t="n">
        <v>19</v>
      </c>
      <c r="C32" s="44" t="s">
        <v>158</v>
      </c>
      <c r="D32" s="45" t="s">
        <v>159</v>
      </c>
      <c r="E32" s="44" t="s">
        <v>147</v>
      </c>
      <c r="F32" s="46" t="n">
        <f aca="false">'Master of Price'!$G$18</f>
        <v>352000</v>
      </c>
      <c r="G32" s="45" t="s">
        <v>674</v>
      </c>
      <c r="H32" s="45" t="s">
        <v>639</v>
      </c>
      <c r="I32" s="41" t="s">
        <v>640</v>
      </c>
      <c r="J32" s="45" t="s">
        <v>677</v>
      </c>
    </row>
    <row r="33" customFormat="false" ht="51" hidden="false" customHeight="true" outlineLevel="0" collapsed="false">
      <c r="B33" s="44" t="n">
        <v>20</v>
      </c>
      <c r="C33" s="44" t="s">
        <v>160</v>
      </c>
      <c r="D33" s="45" t="s">
        <v>161</v>
      </c>
      <c r="E33" s="44" t="s">
        <v>147</v>
      </c>
      <c r="F33" s="46" t="n">
        <f aca="false">'Master of Price'!$G$19</f>
        <v>352000</v>
      </c>
      <c r="G33" s="45" t="s">
        <v>678</v>
      </c>
      <c r="H33" s="45" t="s">
        <v>679</v>
      </c>
      <c r="I33" s="41" t="s">
        <v>680</v>
      </c>
      <c r="J33" s="45" t="s">
        <v>681</v>
      </c>
    </row>
    <row r="34" customFormat="false" ht="51" hidden="false" customHeight="true" outlineLevel="0" collapsed="false">
      <c r="B34" s="44" t="n">
        <v>21</v>
      </c>
      <c r="C34" s="44" t="s">
        <v>162</v>
      </c>
      <c r="D34" s="45" t="s">
        <v>163</v>
      </c>
      <c r="E34" s="44" t="s">
        <v>147</v>
      </c>
      <c r="F34" s="46" t="n">
        <f aca="false">'Master of Price'!$G$20</f>
        <v>352000</v>
      </c>
      <c r="G34" s="45" t="s">
        <v>674</v>
      </c>
      <c r="H34" s="45" t="s">
        <v>675</v>
      </c>
      <c r="I34" s="41" t="s">
        <v>632</v>
      </c>
      <c r="J34" s="45" t="s">
        <v>682</v>
      </c>
    </row>
    <row r="35" customFormat="false" ht="21.75" hidden="false" customHeight="true" outlineLevel="0" collapsed="false">
      <c r="B35" s="42" t="s">
        <v>683</v>
      </c>
      <c r="C35" s="42"/>
      <c r="D35" s="42"/>
      <c r="E35" s="42"/>
      <c r="F35" s="42"/>
      <c r="G35" s="42"/>
      <c r="H35" s="42"/>
      <c r="I35" s="42"/>
      <c r="J35" s="42"/>
    </row>
    <row r="36" customFormat="false" ht="51" hidden="false" customHeight="true" outlineLevel="0" collapsed="false">
      <c r="B36" s="44" t="n">
        <v>22</v>
      </c>
      <c r="C36" s="44" t="s">
        <v>164</v>
      </c>
      <c r="D36" s="45" t="s">
        <v>166</v>
      </c>
      <c r="E36" s="44" t="s">
        <v>167</v>
      </c>
      <c r="F36" s="46" t="n">
        <f aca="false">'Master of Price'!$G$21</f>
        <v>1000000</v>
      </c>
      <c r="G36" s="45" t="s">
        <v>684</v>
      </c>
      <c r="H36" s="45" t="s">
        <v>685</v>
      </c>
      <c r="I36" s="41" t="s">
        <v>686</v>
      </c>
      <c r="J36" s="45" t="s">
        <v>687</v>
      </c>
    </row>
    <row r="37" customFormat="false" ht="51" hidden="false" customHeight="true" outlineLevel="0" collapsed="false">
      <c r="B37" s="44" t="n">
        <v>23</v>
      </c>
      <c r="C37" s="44" t="s">
        <v>164</v>
      </c>
      <c r="D37" s="45" t="s">
        <v>166</v>
      </c>
      <c r="E37" s="44" t="s">
        <v>167</v>
      </c>
      <c r="F37" s="46" t="n">
        <f aca="false">'Master of Price'!$G$21</f>
        <v>1000000</v>
      </c>
      <c r="G37" s="45" t="s">
        <v>688</v>
      </c>
      <c r="H37" s="45" t="s">
        <v>689</v>
      </c>
      <c r="I37" s="41" t="s">
        <v>690</v>
      </c>
      <c r="J37" s="45" t="s">
        <v>691</v>
      </c>
    </row>
    <row r="38" customFormat="false" ht="51" hidden="false" customHeight="true" outlineLevel="0" collapsed="false">
      <c r="B38" s="44" t="n">
        <v>24</v>
      </c>
      <c r="C38" s="44" t="s">
        <v>168</v>
      </c>
      <c r="D38" s="45" t="s">
        <v>169</v>
      </c>
      <c r="E38" s="44" t="s">
        <v>167</v>
      </c>
      <c r="F38" s="46" t="n">
        <f aca="false">'Master of Price'!$G$22</f>
        <v>47500</v>
      </c>
      <c r="G38" s="45" t="s">
        <v>692</v>
      </c>
      <c r="H38" s="45" t="s">
        <v>693</v>
      </c>
      <c r="I38" s="41" t="s">
        <v>694</v>
      </c>
      <c r="J38" s="45" t="s">
        <v>695</v>
      </c>
    </row>
    <row r="39" customFormat="false" ht="36" hidden="false" customHeight="true" outlineLevel="0" collapsed="false">
      <c r="B39" s="44" t="n">
        <v>25</v>
      </c>
      <c r="C39" s="44" t="s">
        <v>168</v>
      </c>
      <c r="D39" s="45" t="s">
        <v>169</v>
      </c>
      <c r="E39" s="44" t="s">
        <v>167</v>
      </c>
      <c r="F39" s="46" t="n">
        <f aca="false">'Master of Price'!$G$22</f>
        <v>47500</v>
      </c>
      <c r="G39" s="45" t="s">
        <v>696</v>
      </c>
      <c r="H39" s="45" t="s">
        <v>697</v>
      </c>
      <c r="I39" s="41" t="s">
        <v>623</v>
      </c>
      <c r="J39" s="45" t="s">
        <v>698</v>
      </c>
    </row>
    <row r="40" customFormat="false" ht="51" hidden="false" customHeight="true" outlineLevel="0" collapsed="false">
      <c r="B40" s="44" t="n">
        <v>26</v>
      </c>
      <c r="C40" s="44" t="s">
        <v>170</v>
      </c>
      <c r="D40" s="45" t="s">
        <v>171</v>
      </c>
      <c r="E40" s="44" t="s">
        <v>167</v>
      </c>
      <c r="F40" s="46" t="n">
        <f aca="false">'Master of Price'!$G$23</f>
        <v>90000</v>
      </c>
      <c r="G40" s="45" t="s">
        <v>699</v>
      </c>
      <c r="H40" s="45" t="s">
        <v>667</v>
      </c>
      <c r="I40" s="41" t="s">
        <v>680</v>
      </c>
      <c r="J40" s="45" t="s">
        <v>700</v>
      </c>
    </row>
    <row r="41" customFormat="false" ht="36" hidden="false" customHeight="true" outlineLevel="0" collapsed="false">
      <c r="B41" s="44" t="n">
        <v>27</v>
      </c>
      <c r="C41" s="44" t="s">
        <v>170</v>
      </c>
      <c r="D41" s="45" t="s">
        <v>171</v>
      </c>
      <c r="E41" s="44" t="s">
        <v>167</v>
      </c>
      <c r="F41" s="46" t="n">
        <f aca="false">'Master of Price'!$G$23</f>
        <v>90000</v>
      </c>
      <c r="G41" s="45" t="s">
        <v>701</v>
      </c>
      <c r="H41" s="45" t="s">
        <v>702</v>
      </c>
      <c r="I41" s="41" t="s">
        <v>703</v>
      </c>
      <c r="J41" s="45" t="s">
        <v>704</v>
      </c>
    </row>
    <row r="42" customFormat="false" ht="51" hidden="false" customHeight="true" outlineLevel="0" collapsed="false">
      <c r="B42" s="44" t="n">
        <v>28</v>
      </c>
      <c r="C42" s="44" t="s">
        <v>172</v>
      </c>
      <c r="D42" s="45" t="s">
        <v>173</v>
      </c>
      <c r="E42" s="44" t="s">
        <v>167</v>
      </c>
      <c r="F42" s="46" t="n">
        <f aca="false">'Master of Price'!$G$24</f>
        <v>130000</v>
      </c>
      <c r="G42" s="45" t="s">
        <v>705</v>
      </c>
      <c r="H42" s="45" t="s">
        <v>706</v>
      </c>
      <c r="I42" s="41" t="s">
        <v>707</v>
      </c>
      <c r="J42" s="45" t="s">
        <v>708</v>
      </c>
    </row>
    <row r="43" customFormat="false" ht="51" hidden="false" customHeight="true" outlineLevel="0" collapsed="false">
      <c r="B43" s="44" t="n">
        <v>29</v>
      </c>
      <c r="C43" s="44" t="s">
        <v>174</v>
      </c>
      <c r="D43" s="45" t="s">
        <v>175</v>
      </c>
      <c r="E43" s="44" t="s">
        <v>167</v>
      </c>
      <c r="F43" s="46" t="n">
        <f aca="false">'Master of Price'!$G$25</f>
        <v>700000</v>
      </c>
      <c r="G43" s="45" t="s">
        <v>709</v>
      </c>
      <c r="H43" s="45" t="s">
        <v>710</v>
      </c>
      <c r="I43" s="41" t="s">
        <v>711</v>
      </c>
      <c r="J43" s="45" t="s">
        <v>712</v>
      </c>
    </row>
    <row r="44" customFormat="false" ht="36" hidden="false" customHeight="true" outlineLevel="0" collapsed="false">
      <c r="B44" s="44" t="n">
        <v>30</v>
      </c>
      <c r="C44" s="44" t="s">
        <v>174</v>
      </c>
      <c r="D44" s="45" t="s">
        <v>175</v>
      </c>
      <c r="E44" s="44" t="s">
        <v>167</v>
      </c>
      <c r="F44" s="46" t="n">
        <f aca="false">'Master of Price'!$G$25</f>
        <v>700000</v>
      </c>
      <c r="G44" s="45" t="s">
        <v>713</v>
      </c>
      <c r="H44" s="45" t="s">
        <v>714</v>
      </c>
      <c r="I44" s="41" t="s">
        <v>715</v>
      </c>
      <c r="J44" s="45" t="s">
        <v>716</v>
      </c>
    </row>
    <row r="45" customFormat="false" ht="51" hidden="false" customHeight="true" outlineLevel="0" collapsed="false">
      <c r="B45" s="44" t="n">
        <v>31</v>
      </c>
      <c r="C45" s="44" t="s">
        <v>176</v>
      </c>
      <c r="D45" s="45" t="s">
        <v>177</v>
      </c>
      <c r="E45" s="44" t="s">
        <v>167</v>
      </c>
      <c r="F45" s="46" t="n">
        <f aca="false">'Master of Price'!$G$26</f>
        <v>1000000</v>
      </c>
      <c r="G45" s="45" t="s">
        <v>717</v>
      </c>
      <c r="H45" s="45" t="s">
        <v>718</v>
      </c>
      <c r="I45" s="41" t="s">
        <v>719</v>
      </c>
      <c r="J45" s="45" t="s">
        <v>720</v>
      </c>
    </row>
    <row r="46" customFormat="false" ht="51" hidden="false" customHeight="true" outlineLevel="0" collapsed="false">
      <c r="B46" s="44" t="n">
        <v>32</v>
      </c>
      <c r="C46" s="44" t="s">
        <v>176</v>
      </c>
      <c r="D46" s="45" t="s">
        <v>177</v>
      </c>
      <c r="E46" s="44" t="s">
        <v>167</v>
      </c>
      <c r="F46" s="46" t="n">
        <f aca="false">'Master of Price'!$G$26</f>
        <v>1000000</v>
      </c>
      <c r="G46" s="45" t="s">
        <v>721</v>
      </c>
      <c r="H46" s="45" t="s">
        <v>722</v>
      </c>
      <c r="I46" s="41" t="s">
        <v>723</v>
      </c>
      <c r="J46" s="45" t="s">
        <v>724</v>
      </c>
    </row>
    <row r="47" customFormat="false" ht="21.75" hidden="false" customHeight="true" outlineLevel="0" collapsed="false">
      <c r="B47" s="42" t="s">
        <v>725</v>
      </c>
      <c r="C47" s="42"/>
      <c r="D47" s="42"/>
      <c r="E47" s="42"/>
      <c r="F47" s="42"/>
      <c r="G47" s="42"/>
      <c r="H47" s="42"/>
      <c r="I47" s="42"/>
      <c r="J47" s="42"/>
    </row>
    <row r="48" customFormat="false" ht="81" hidden="false" customHeight="true" outlineLevel="0" collapsed="false">
      <c r="B48" s="44" t="n">
        <v>33</v>
      </c>
      <c r="C48" s="44" t="s">
        <v>178</v>
      </c>
      <c r="D48" s="45" t="s">
        <v>180</v>
      </c>
      <c r="E48" s="44" t="s">
        <v>181</v>
      </c>
      <c r="F48" s="46" t="n">
        <f aca="false">'Master of Price'!$G$27</f>
        <v>4500000</v>
      </c>
      <c r="G48" s="45" t="s">
        <v>726</v>
      </c>
      <c r="H48" s="45" t="s">
        <v>727</v>
      </c>
      <c r="I48" s="41" t="s">
        <v>728</v>
      </c>
      <c r="J48" s="45" t="s">
        <v>729</v>
      </c>
    </row>
    <row r="49" customFormat="false" ht="81" hidden="false" customHeight="true" outlineLevel="0" collapsed="false">
      <c r="B49" s="44" t="n">
        <v>34</v>
      </c>
      <c r="C49" s="44" t="s">
        <v>178</v>
      </c>
      <c r="D49" s="45" t="s">
        <v>180</v>
      </c>
      <c r="E49" s="44" t="s">
        <v>181</v>
      </c>
      <c r="F49" s="46" t="n">
        <f aca="false">'Master of Price'!$G$27</f>
        <v>4500000</v>
      </c>
      <c r="G49" s="45" t="s">
        <v>730</v>
      </c>
      <c r="H49" s="45" t="s">
        <v>731</v>
      </c>
      <c r="I49" s="41" t="s">
        <v>732</v>
      </c>
      <c r="J49" s="45" t="s">
        <v>733</v>
      </c>
    </row>
    <row r="50" customFormat="false" ht="21.75" hidden="false" customHeight="true" outlineLevel="0" collapsed="false">
      <c r="B50" s="42" t="s">
        <v>734</v>
      </c>
      <c r="C50" s="42"/>
      <c r="D50" s="42"/>
      <c r="E50" s="42"/>
      <c r="F50" s="42"/>
      <c r="G50" s="42"/>
      <c r="H50" s="42"/>
      <c r="I50" s="42"/>
      <c r="J50" s="42"/>
    </row>
    <row r="51" customFormat="false" ht="66" hidden="false" customHeight="true" outlineLevel="0" collapsed="false">
      <c r="B51" s="44" t="n">
        <v>35</v>
      </c>
      <c r="C51" s="44" t="s">
        <v>182</v>
      </c>
      <c r="D51" s="45" t="s">
        <v>184</v>
      </c>
      <c r="E51" s="44" t="s">
        <v>185</v>
      </c>
      <c r="F51" s="46" t="n">
        <f aca="false">'Master of Price'!$G$28</f>
        <v>19000000</v>
      </c>
      <c r="G51" s="45" t="s">
        <v>735</v>
      </c>
      <c r="H51" s="45" t="s">
        <v>736</v>
      </c>
      <c r="I51" s="41" t="s">
        <v>737</v>
      </c>
      <c r="J51" s="45" t="s">
        <v>738</v>
      </c>
    </row>
    <row r="52" customFormat="false" ht="66" hidden="false" customHeight="true" outlineLevel="0" collapsed="false">
      <c r="B52" s="44" t="n">
        <v>36</v>
      </c>
      <c r="C52" s="44" t="s">
        <v>182</v>
      </c>
      <c r="D52" s="45" t="s">
        <v>184</v>
      </c>
      <c r="E52" s="44" t="s">
        <v>185</v>
      </c>
      <c r="F52" s="46" t="n">
        <f aca="false">'Master of Price'!$G$28</f>
        <v>19000000</v>
      </c>
      <c r="G52" s="45" t="s">
        <v>739</v>
      </c>
      <c r="H52" s="45" t="s">
        <v>740</v>
      </c>
      <c r="I52" s="41" t="s">
        <v>741</v>
      </c>
      <c r="J52" s="45" t="s">
        <v>742</v>
      </c>
    </row>
    <row r="53" customFormat="false" ht="66" hidden="false" customHeight="true" outlineLevel="0" collapsed="false">
      <c r="B53" s="44" t="n">
        <v>37</v>
      </c>
      <c r="C53" s="44" t="s">
        <v>182</v>
      </c>
      <c r="D53" s="45" t="s">
        <v>184</v>
      </c>
      <c r="E53" s="44" t="s">
        <v>185</v>
      </c>
      <c r="F53" s="46" t="n">
        <f aca="false">'Master of Price'!$G$28</f>
        <v>19000000</v>
      </c>
      <c r="G53" s="45" t="s">
        <v>743</v>
      </c>
      <c r="H53" s="45" t="s">
        <v>744</v>
      </c>
      <c r="I53" s="41" t="s">
        <v>745</v>
      </c>
      <c r="J53" s="45" t="s">
        <v>746</v>
      </c>
    </row>
    <row r="54" customFormat="false" ht="66" hidden="false" customHeight="true" outlineLevel="0" collapsed="false">
      <c r="B54" s="44" t="n">
        <v>38</v>
      </c>
      <c r="C54" s="44" t="s">
        <v>182</v>
      </c>
      <c r="D54" s="45" t="s">
        <v>184</v>
      </c>
      <c r="E54" s="44" t="s">
        <v>185</v>
      </c>
      <c r="F54" s="46" t="n">
        <f aca="false">'Master of Price'!$G$28</f>
        <v>19000000</v>
      </c>
      <c r="G54" s="45" t="s">
        <v>747</v>
      </c>
      <c r="H54" s="45" t="s">
        <v>748</v>
      </c>
      <c r="I54" s="41" t="s">
        <v>749</v>
      </c>
      <c r="J54" s="45" t="s">
        <v>750</v>
      </c>
    </row>
    <row r="55" customFormat="false" ht="66" hidden="false" customHeight="true" outlineLevel="0" collapsed="false">
      <c r="B55" s="44" t="n">
        <v>39</v>
      </c>
      <c r="C55" s="44" t="s">
        <v>182</v>
      </c>
      <c r="D55" s="45" t="s">
        <v>184</v>
      </c>
      <c r="E55" s="44" t="s">
        <v>185</v>
      </c>
      <c r="F55" s="46" t="n">
        <f aca="false">'Master of Price'!$G$28</f>
        <v>19000000</v>
      </c>
      <c r="G55" s="45" t="s">
        <v>751</v>
      </c>
      <c r="H55" s="45" t="s">
        <v>752</v>
      </c>
      <c r="I55" s="41" t="s">
        <v>753</v>
      </c>
      <c r="J55" s="45" t="s">
        <v>754</v>
      </c>
    </row>
    <row r="56" customFormat="false" ht="51" hidden="false" customHeight="true" outlineLevel="0" collapsed="false">
      <c r="B56" s="44" t="n">
        <v>40</v>
      </c>
      <c r="C56" s="44" t="s">
        <v>186</v>
      </c>
      <c r="D56" s="45" t="s">
        <v>187</v>
      </c>
      <c r="E56" s="44" t="s">
        <v>188</v>
      </c>
      <c r="F56" s="46" t="n">
        <f aca="false">'Master of Price'!$G$29</f>
        <v>1500000</v>
      </c>
      <c r="G56" s="45" t="s">
        <v>755</v>
      </c>
      <c r="H56" s="45" t="s">
        <v>756</v>
      </c>
      <c r="I56" s="41" t="s">
        <v>623</v>
      </c>
      <c r="J56" s="45" t="s">
        <v>757</v>
      </c>
    </row>
    <row r="57" customFormat="false" ht="51" hidden="false" customHeight="true" outlineLevel="0" collapsed="false">
      <c r="B57" s="44" t="n">
        <v>41</v>
      </c>
      <c r="C57" s="44" t="s">
        <v>189</v>
      </c>
      <c r="D57" s="45" t="s">
        <v>190</v>
      </c>
      <c r="E57" s="44" t="s">
        <v>185</v>
      </c>
      <c r="F57" s="46" t="n">
        <f aca="false">'Master of Price'!$G$30</f>
        <v>3398000</v>
      </c>
      <c r="G57" s="45" t="s">
        <v>758</v>
      </c>
      <c r="H57" s="45" t="s">
        <v>759</v>
      </c>
      <c r="I57" s="41" t="s">
        <v>760</v>
      </c>
      <c r="J57" s="45" t="s">
        <v>761</v>
      </c>
    </row>
    <row r="58" customFormat="false" ht="36" hidden="false" customHeight="true" outlineLevel="0" collapsed="false">
      <c r="B58" s="44" t="n">
        <v>42</v>
      </c>
      <c r="C58" s="44" t="s">
        <v>189</v>
      </c>
      <c r="D58" s="45" t="s">
        <v>190</v>
      </c>
      <c r="E58" s="44" t="s">
        <v>185</v>
      </c>
      <c r="F58" s="46" t="n">
        <f aca="false">'Master of Price'!$G$30</f>
        <v>3398000</v>
      </c>
      <c r="G58" s="45" t="s">
        <v>762</v>
      </c>
      <c r="H58" s="45" t="s">
        <v>763</v>
      </c>
      <c r="I58" s="41" t="s">
        <v>764</v>
      </c>
      <c r="J58" s="45" t="s">
        <v>765</v>
      </c>
    </row>
    <row r="59" customFormat="false" ht="36" hidden="false" customHeight="true" outlineLevel="0" collapsed="false">
      <c r="B59" s="44" t="n">
        <v>43</v>
      </c>
      <c r="C59" s="44" t="s">
        <v>189</v>
      </c>
      <c r="D59" s="45" t="s">
        <v>190</v>
      </c>
      <c r="E59" s="44" t="s">
        <v>185</v>
      </c>
      <c r="F59" s="46" t="n">
        <f aca="false">'Master of Price'!$G$30</f>
        <v>3398000</v>
      </c>
      <c r="G59" s="45" t="s">
        <v>766</v>
      </c>
      <c r="H59" s="45" t="s">
        <v>767</v>
      </c>
      <c r="I59" s="41" t="s">
        <v>768</v>
      </c>
      <c r="J59" s="45" t="s">
        <v>769</v>
      </c>
    </row>
    <row r="60" customFormat="false" ht="36" hidden="false" customHeight="true" outlineLevel="0" collapsed="false">
      <c r="B60" s="44" t="n">
        <v>44</v>
      </c>
      <c r="C60" s="44" t="s">
        <v>189</v>
      </c>
      <c r="D60" s="45" t="s">
        <v>190</v>
      </c>
      <c r="E60" s="44" t="s">
        <v>185</v>
      </c>
      <c r="F60" s="46" t="n">
        <f aca="false">'Master of Price'!$G$30</f>
        <v>3398000</v>
      </c>
      <c r="G60" s="45" t="s">
        <v>770</v>
      </c>
      <c r="H60" s="45" t="s">
        <v>771</v>
      </c>
      <c r="I60" s="41" t="s">
        <v>772</v>
      </c>
      <c r="J60" s="45" t="s">
        <v>773</v>
      </c>
    </row>
    <row r="61" customFormat="false" ht="51" hidden="false" customHeight="true" outlineLevel="0" collapsed="false">
      <c r="B61" s="44" t="n">
        <v>45</v>
      </c>
      <c r="C61" s="44" t="s">
        <v>191</v>
      </c>
      <c r="D61" s="45" t="s">
        <v>192</v>
      </c>
      <c r="E61" s="44" t="s">
        <v>188</v>
      </c>
      <c r="F61" s="46" t="n">
        <f aca="false">'Master of Price'!$G$31</f>
        <v>2500000</v>
      </c>
      <c r="G61" s="45" t="s">
        <v>774</v>
      </c>
      <c r="H61" s="45" t="s">
        <v>775</v>
      </c>
      <c r="I61" s="41" t="s">
        <v>619</v>
      </c>
      <c r="J61" s="45" t="s">
        <v>776</v>
      </c>
    </row>
    <row r="62" customFormat="false" ht="21.75" hidden="false" customHeight="true" outlineLevel="0" collapsed="false">
      <c r="B62" s="42" t="s">
        <v>777</v>
      </c>
      <c r="C62" s="42"/>
      <c r="D62" s="42"/>
      <c r="E62" s="42"/>
      <c r="F62" s="42"/>
      <c r="G62" s="42"/>
      <c r="H62" s="42"/>
      <c r="I62" s="42"/>
      <c r="J62" s="42"/>
    </row>
    <row r="63" customFormat="false" ht="51" hidden="false" customHeight="true" outlineLevel="0" collapsed="false">
      <c r="B63" s="44" t="n">
        <v>46</v>
      </c>
      <c r="C63" s="44" t="s">
        <v>193</v>
      </c>
      <c r="D63" s="45" t="s">
        <v>195</v>
      </c>
      <c r="E63" s="44" t="s">
        <v>185</v>
      </c>
      <c r="F63" s="46" t="n">
        <f aca="false">'Master of Price'!$G$32</f>
        <v>26200000</v>
      </c>
      <c r="G63" s="45" t="s">
        <v>778</v>
      </c>
      <c r="H63" s="45" t="s">
        <v>779</v>
      </c>
      <c r="I63" s="41" t="s">
        <v>780</v>
      </c>
      <c r="J63" s="45" t="s">
        <v>781</v>
      </c>
    </row>
    <row r="64" customFormat="false" ht="51" hidden="false" customHeight="true" outlineLevel="0" collapsed="false">
      <c r="B64" s="44" t="n">
        <v>47</v>
      </c>
      <c r="C64" s="44" t="s">
        <v>193</v>
      </c>
      <c r="D64" s="45" t="s">
        <v>195</v>
      </c>
      <c r="E64" s="44" t="s">
        <v>185</v>
      </c>
      <c r="F64" s="46" t="n">
        <f aca="false">'Master of Price'!$G$32</f>
        <v>26200000</v>
      </c>
      <c r="G64" s="45" t="s">
        <v>782</v>
      </c>
      <c r="H64" s="45" t="s">
        <v>783</v>
      </c>
      <c r="I64" s="41" t="s">
        <v>784</v>
      </c>
      <c r="J64" s="45" t="s">
        <v>785</v>
      </c>
    </row>
    <row r="65" customFormat="false" ht="51" hidden="false" customHeight="true" outlineLevel="0" collapsed="false">
      <c r="B65" s="44" t="n">
        <v>48</v>
      </c>
      <c r="C65" s="44" t="s">
        <v>193</v>
      </c>
      <c r="D65" s="45" t="s">
        <v>195</v>
      </c>
      <c r="E65" s="44" t="s">
        <v>185</v>
      </c>
      <c r="F65" s="46" t="n">
        <f aca="false">'Master of Price'!$G$32</f>
        <v>26200000</v>
      </c>
      <c r="G65" s="45" t="s">
        <v>786</v>
      </c>
      <c r="H65" s="45" t="s">
        <v>787</v>
      </c>
      <c r="I65" s="41" t="s">
        <v>788</v>
      </c>
      <c r="J65" s="45" t="s">
        <v>789</v>
      </c>
    </row>
    <row r="66" customFormat="false" ht="51" hidden="false" customHeight="true" outlineLevel="0" collapsed="false">
      <c r="B66" s="44" t="n">
        <v>49</v>
      </c>
      <c r="C66" s="44" t="s">
        <v>193</v>
      </c>
      <c r="D66" s="45" t="s">
        <v>195</v>
      </c>
      <c r="E66" s="44" t="s">
        <v>185</v>
      </c>
      <c r="F66" s="46" t="n">
        <f aca="false">'Master of Price'!$G$32</f>
        <v>26200000</v>
      </c>
      <c r="G66" s="45" t="s">
        <v>790</v>
      </c>
      <c r="H66" s="45" t="s">
        <v>791</v>
      </c>
      <c r="I66" s="41" t="s">
        <v>792</v>
      </c>
      <c r="J66" s="45" t="s">
        <v>793</v>
      </c>
    </row>
    <row r="67" customFormat="false" ht="51" hidden="false" customHeight="true" outlineLevel="0" collapsed="false">
      <c r="B67" s="44" t="n">
        <v>50</v>
      </c>
      <c r="C67" s="44" t="s">
        <v>193</v>
      </c>
      <c r="D67" s="45" t="s">
        <v>195</v>
      </c>
      <c r="E67" s="44" t="s">
        <v>185</v>
      </c>
      <c r="F67" s="46" t="n">
        <f aca="false">'Master of Price'!$G$32</f>
        <v>26200000</v>
      </c>
      <c r="G67" s="45" t="s">
        <v>794</v>
      </c>
      <c r="H67" s="45" t="s">
        <v>795</v>
      </c>
      <c r="I67" s="41" t="s">
        <v>796</v>
      </c>
      <c r="J67" s="45" t="s">
        <v>797</v>
      </c>
    </row>
    <row r="68" customFormat="false" ht="51" hidden="false" customHeight="true" outlineLevel="0" collapsed="false">
      <c r="B68" s="44" t="n">
        <v>51</v>
      </c>
      <c r="C68" s="44" t="s">
        <v>196</v>
      </c>
      <c r="D68" s="45" t="s">
        <v>197</v>
      </c>
      <c r="E68" s="44" t="s">
        <v>188</v>
      </c>
      <c r="F68" s="46" t="n">
        <f aca="false">'Master of Price'!$G$33</f>
        <v>1500000</v>
      </c>
      <c r="G68" s="45" t="s">
        <v>798</v>
      </c>
      <c r="H68" s="45" t="s">
        <v>799</v>
      </c>
      <c r="I68" s="41" t="s">
        <v>623</v>
      </c>
      <c r="J68" s="45" t="s">
        <v>800</v>
      </c>
    </row>
    <row r="69" customFormat="false" ht="51" hidden="false" customHeight="true" outlineLevel="0" collapsed="false">
      <c r="B69" s="44" t="n">
        <v>52</v>
      </c>
      <c r="C69" s="44" t="s">
        <v>198</v>
      </c>
      <c r="D69" s="45" t="s">
        <v>199</v>
      </c>
      <c r="E69" s="44" t="s">
        <v>185</v>
      </c>
      <c r="F69" s="46" t="n">
        <f aca="false">'Master of Price'!$G$34</f>
        <v>6500000</v>
      </c>
      <c r="G69" s="45" t="s">
        <v>801</v>
      </c>
      <c r="H69" s="45" t="s">
        <v>802</v>
      </c>
      <c r="I69" s="41" t="s">
        <v>803</v>
      </c>
      <c r="J69" s="45" t="s">
        <v>804</v>
      </c>
    </row>
    <row r="70" customFormat="false" ht="51" hidden="false" customHeight="true" outlineLevel="0" collapsed="false">
      <c r="B70" s="44" t="n">
        <v>53</v>
      </c>
      <c r="C70" s="44" t="s">
        <v>198</v>
      </c>
      <c r="D70" s="45" t="s">
        <v>199</v>
      </c>
      <c r="E70" s="44" t="s">
        <v>185</v>
      </c>
      <c r="F70" s="46" t="n">
        <f aca="false">'Master of Price'!$G$34</f>
        <v>6500000</v>
      </c>
      <c r="G70" s="45" t="s">
        <v>805</v>
      </c>
      <c r="H70" s="45" t="s">
        <v>795</v>
      </c>
      <c r="I70" s="41" t="s">
        <v>806</v>
      </c>
      <c r="J70" s="45" t="s">
        <v>807</v>
      </c>
    </row>
    <row r="71" customFormat="false" ht="51" hidden="false" customHeight="true" outlineLevel="0" collapsed="false">
      <c r="B71" s="44" t="n">
        <v>54</v>
      </c>
      <c r="C71" s="44" t="s">
        <v>198</v>
      </c>
      <c r="D71" s="45" t="s">
        <v>199</v>
      </c>
      <c r="E71" s="44" t="s">
        <v>185</v>
      </c>
      <c r="F71" s="46" t="n">
        <f aca="false">'Master of Price'!$G$34</f>
        <v>6500000</v>
      </c>
      <c r="G71" s="45" t="s">
        <v>808</v>
      </c>
      <c r="H71" s="45" t="s">
        <v>809</v>
      </c>
      <c r="I71" s="41" t="s">
        <v>810</v>
      </c>
      <c r="J71" s="45" t="s">
        <v>811</v>
      </c>
    </row>
    <row r="72" customFormat="false" ht="51" hidden="false" customHeight="true" outlineLevel="0" collapsed="false">
      <c r="B72" s="44" t="n">
        <v>55</v>
      </c>
      <c r="C72" s="44" t="s">
        <v>200</v>
      </c>
      <c r="D72" s="45" t="s">
        <v>201</v>
      </c>
      <c r="E72" s="44" t="s">
        <v>188</v>
      </c>
      <c r="F72" s="46" t="n">
        <f aca="false">'Master of Price'!$G$35</f>
        <v>2360000</v>
      </c>
      <c r="G72" s="45" t="s">
        <v>812</v>
      </c>
      <c r="H72" s="45" t="s">
        <v>813</v>
      </c>
      <c r="I72" s="41" t="s">
        <v>814</v>
      </c>
      <c r="J72" s="45" t="s">
        <v>815</v>
      </c>
    </row>
    <row r="73" customFormat="false" ht="51" hidden="false" customHeight="true" outlineLevel="0" collapsed="false">
      <c r="B73" s="44" t="n">
        <v>56</v>
      </c>
      <c r="C73" s="44" t="s">
        <v>200</v>
      </c>
      <c r="D73" s="45" t="s">
        <v>201</v>
      </c>
      <c r="E73" s="44" t="s">
        <v>188</v>
      </c>
      <c r="F73" s="46" t="n">
        <f aca="false">'Master of Price'!$G$35</f>
        <v>2360000</v>
      </c>
      <c r="G73" s="45" t="s">
        <v>816</v>
      </c>
      <c r="H73" s="45" t="s">
        <v>817</v>
      </c>
      <c r="I73" s="41" t="s">
        <v>644</v>
      </c>
      <c r="J73" s="45" t="s">
        <v>818</v>
      </c>
    </row>
    <row r="74" customFormat="false" ht="36" hidden="false" customHeight="true" outlineLevel="0" collapsed="false">
      <c r="B74" s="44" t="n">
        <v>57</v>
      </c>
      <c r="C74" s="44" t="s">
        <v>202</v>
      </c>
      <c r="D74" s="45" t="s">
        <v>203</v>
      </c>
      <c r="E74" s="44" t="s">
        <v>188</v>
      </c>
      <c r="F74" s="46" t="n">
        <f aca="false">'Master of Price'!$G$36</f>
        <v>500000</v>
      </c>
      <c r="G74" s="45" t="s">
        <v>819</v>
      </c>
      <c r="H74" s="45" t="s">
        <v>756</v>
      </c>
      <c r="I74" s="41" t="s">
        <v>623</v>
      </c>
      <c r="J74" s="45" t="s">
        <v>820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42" t="s">
        <v>821</v>
      </c>
      <c r="C76" s="42"/>
      <c r="D76" s="42"/>
      <c r="E76" s="42"/>
      <c r="F76" s="42"/>
      <c r="G76" s="42"/>
      <c r="H76" s="42"/>
      <c r="I76" s="42"/>
      <c r="J76" s="42"/>
    </row>
    <row r="77" customFormat="false" ht="66" hidden="false" customHeight="true" outlineLevel="0" collapsed="false">
      <c r="B77" s="44" t="n">
        <v>58</v>
      </c>
      <c r="C77" s="44" t="s">
        <v>822</v>
      </c>
      <c r="D77" s="45" t="s">
        <v>823</v>
      </c>
      <c r="E77" s="44" t="s">
        <v>601</v>
      </c>
      <c r="F77" s="46" t="s">
        <v>601</v>
      </c>
      <c r="G77" s="45" t="s">
        <v>824</v>
      </c>
      <c r="H77" s="45" t="s">
        <v>825</v>
      </c>
      <c r="I77" s="41" t="s">
        <v>826</v>
      </c>
      <c r="J77" s="45" t="s">
        <v>827</v>
      </c>
    </row>
    <row r="78" customFormat="false" ht="66" hidden="false" customHeight="true" outlineLevel="0" collapsed="false">
      <c r="B78" s="44" t="n">
        <v>59</v>
      </c>
      <c r="C78" s="44" t="s">
        <v>822</v>
      </c>
      <c r="D78" s="45" t="s">
        <v>828</v>
      </c>
      <c r="E78" s="44" t="s">
        <v>601</v>
      </c>
      <c r="F78" s="46" t="s">
        <v>601</v>
      </c>
      <c r="G78" s="45" t="s">
        <v>829</v>
      </c>
      <c r="H78" s="45" t="s">
        <v>830</v>
      </c>
      <c r="I78" s="41" t="s">
        <v>831</v>
      </c>
      <c r="J78" s="45" t="s">
        <v>832</v>
      </c>
    </row>
    <row r="79" customFormat="false" ht="66" hidden="false" customHeight="true" outlineLevel="0" collapsed="false">
      <c r="B79" s="44" t="n">
        <v>60</v>
      </c>
      <c r="C79" s="44" t="s">
        <v>822</v>
      </c>
      <c r="D79" s="45" t="s">
        <v>833</v>
      </c>
      <c r="E79" s="44" t="s">
        <v>601</v>
      </c>
      <c r="F79" s="46" t="s">
        <v>601</v>
      </c>
      <c r="G79" s="45" t="s">
        <v>834</v>
      </c>
      <c r="H79" s="45" t="s">
        <v>835</v>
      </c>
      <c r="I79" s="41" t="s">
        <v>836</v>
      </c>
      <c r="J79" s="45" t="s">
        <v>837</v>
      </c>
    </row>
    <row r="80" customFormat="false" ht="66" hidden="false" customHeight="true" outlineLevel="0" collapsed="false">
      <c r="B80" s="44" t="n">
        <v>61</v>
      </c>
      <c r="C80" s="44" t="s">
        <v>822</v>
      </c>
      <c r="D80" s="45" t="s">
        <v>838</v>
      </c>
      <c r="E80" s="44" t="s">
        <v>601</v>
      </c>
      <c r="F80" s="46" t="s">
        <v>601</v>
      </c>
      <c r="G80" s="45" t="s">
        <v>839</v>
      </c>
      <c r="H80" s="45" t="s">
        <v>840</v>
      </c>
      <c r="I80" s="41" t="s">
        <v>826</v>
      </c>
      <c r="J80" s="45" t="s">
        <v>841</v>
      </c>
    </row>
    <row r="81" customFormat="false" ht="66" hidden="false" customHeight="true" outlineLevel="0" collapsed="false">
      <c r="B81" s="44" t="n">
        <v>62</v>
      </c>
      <c r="C81" s="44" t="s">
        <v>822</v>
      </c>
      <c r="D81" s="45" t="s">
        <v>842</v>
      </c>
      <c r="E81" s="44" t="s">
        <v>601</v>
      </c>
      <c r="F81" s="46" t="s">
        <v>601</v>
      </c>
      <c r="G81" s="45" t="s">
        <v>843</v>
      </c>
      <c r="H81" s="45" t="s">
        <v>844</v>
      </c>
      <c r="I81" s="41" t="s">
        <v>760</v>
      </c>
      <c r="J81" s="45" t="s">
        <v>845</v>
      </c>
    </row>
    <row r="82" customFormat="false" ht="66" hidden="false" customHeight="true" outlineLevel="0" collapsed="false">
      <c r="B82" s="44" t="n">
        <v>63</v>
      </c>
      <c r="C82" s="44" t="s">
        <v>822</v>
      </c>
      <c r="D82" s="45" t="s">
        <v>846</v>
      </c>
      <c r="E82" s="44" t="s">
        <v>601</v>
      </c>
      <c r="F82" s="46" t="s">
        <v>601</v>
      </c>
      <c r="G82" s="45" t="s">
        <v>847</v>
      </c>
      <c r="H82" s="45" t="s">
        <v>848</v>
      </c>
      <c r="I82" s="41" t="s">
        <v>849</v>
      </c>
      <c r="J82" s="45" t="s">
        <v>850</v>
      </c>
    </row>
    <row r="83" customFormat="false" ht="66" hidden="false" customHeight="true" outlineLevel="0" collapsed="false">
      <c r="B83" s="44" t="n">
        <v>64</v>
      </c>
      <c r="C83" s="44" t="s">
        <v>822</v>
      </c>
      <c r="D83" s="45" t="s">
        <v>851</v>
      </c>
      <c r="E83" s="44" t="s">
        <v>601</v>
      </c>
      <c r="F83" s="46" t="s">
        <v>601</v>
      </c>
      <c r="G83" s="45" t="s">
        <v>852</v>
      </c>
      <c r="H83" s="45" t="s">
        <v>853</v>
      </c>
      <c r="I83" s="41" t="s">
        <v>854</v>
      </c>
      <c r="J83" s="45" t="s">
        <v>855</v>
      </c>
    </row>
  </sheetData>
  <mergeCells count="14">
    <mergeCell ref="B2:J2"/>
    <mergeCell ref="C4:J4"/>
    <mergeCell ref="C5:J5"/>
    <mergeCell ref="C6:J6"/>
    <mergeCell ref="C7:J7"/>
    <mergeCell ref="C8:J8"/>
    <mergeCell ref="B10:J10"/>
    <mergeCell ref="B12:J12"/>
    <mergeCell ref="B19:J19"/>
    <mergeCell ref="B35:J35"/>
    <mergeCell ref="B47:J47"/>
    <mergeCell ref="B50:J50"/>
    <mergeCell ref="B62:J62"/>
    <mergeCell ref="B76:J76"/>
  </mergeCells>
  <hyperlinks>
    <hyperlink ref="I13" r:id="rId1" display="https://jdih.tebokab.go.id"/>
    <hyperlink ref="I14" r:id="rId2" display="https://peraturan.bpk.go.id"/>
    <hyperlink ref="I15" r:id="rId3" display="https://pasal.id"/>
    <hyperlink ref="I16" r:id="rId4" display="https://binakonstruksi.pu.go.id"/>
    <hyperlink ref="I17" r:id="rId5" display="https://id.scribd.com"/>
    <hyperlink ref="I18" r:id="rId6" display="https://id.scribd.com"/>
    <hyperlink ref="I20" r:id="rId7" display="https://www.lamudi.co.id"/>
    <hyperlink ref="I21" r:id="rId8" display="https://tedmondgroups.co.id"/>
    <hyperlink ref="I22" r:id="rId9" display="https://www.klopmart.com"/>
    <hyperlink ref="I23" r:id="rId10" display="https://juraganmaterial.id"/>
    <hyperlink ref="I24" r:id="rId11" display="https://www.rucika.co.id"/>
    <hyperlink ref="I25" r:id="rId12" display="https://shopee.co.id/search?keyword=pipa%20pvc%20aw%202%20inch%204%20meter"/>
    <hyperlink ref="I26" r:id="rId13" display="https://katalog.inaproc.id"/>
    <hyperlink ref="I27" r:id="rId14" display="https://www.aquatechindonesia.net/product/silika-sand-dan-silika-gravel/"/>
    <hyperlink ref="I28" r:id="rId15" display="https://shopee.co.id/Silika-Gravel-Silica-Gravel-50-kg-1-karung-1-bag-1-sak-1-zak-i.968575546.21987290207"/>
    <hyperlink ref="I29" r:id="rId16" display="https://www.detik.com/properti/berita/d-7632414/harga-semen-termurah-hingga-termahal-per-sak-2024"/>
    <hyperlink ref="I30" r:id="rId17" display="https://id.scribd.com/document/374720070/Semen-Tiga-Roda-50kg"/>
    <hyperlink ref="I31" r:id="rId18" display="https://www.lamudi.co.id"/>
    <hyperlink ref="I32" r:id="rId19" display="https://www.klopmart.com"/>
    <hyperlink ref="I33" r:id="rId20" display="https://www.detik.com"/>
    <hyperlink ref="I34" r:id="rId21" display="https://www.lamudi.co.id"/>
    <hyperlink ref="I36" r:id="rId22" display="https://www.brighton.co.id/about/articles-all/harga-borongan-cor-beton-manual-untuk-proyek-konstruksi"/>
    <hyperlink ref="I37" r:id="rId23" display="https://www.medcom.id/properti/news-properti/zNPl0RWN-kisaran-upah-jasa-cor-beton-2024"/>
    <hyperlink ref="I38" r:id="rId24" display="https://www.99.co"/>
    <hyperlink ref="I39" r:id="rId25" display="https://id.scribd.com"/>
    <hyperlink ref="I40" r:id="rId26" display="https://www.detik.com"/>
    <hyperlink ref="I41" r:id="rId27" display="https://jayawan.com"/>
    <hyperlink ref="I42" r:id="rId28" display="https://www.tokopedia.com/find/batu-kali-pondasi"/>
    <hyperlink ref="I43" r:id="rId29" display="https://www.pinhome.id"/>
    <hyperlink ref="I44" r:id="rId30" display="https://www.brighton.co.id"/>
    <hyperlink ref="I45" r:id="rId31" display="https://www.99.co/id/panduan/harga-borongan-cor-beton"/>
    <hyperlink ref="I46" r:id="rId32" display="https://readymix.co.id/produk/jasa-borong-gelar-beton"/>
    <hyperlink ref="I48" r:id="rId33" display="https://www.tokopedia.com/find/hollow-galvanis"/>
    <hyperlink ref="I49" r:id="rId34" display="https://www.smsperkasa.com"/>
    <hyperlink ref="I51" r:id="rId35" display="https://shopee.co.id/search?keyword=pompa%20satelit%204%20inch%202%20hp"/>
    <hyperlink ref="I52" r:id="rId36" display="https://sentralpompa.com/produk-908-Pompa-Submersible-4-Inch-2-HP-Stainles-SS428K+Kabel-50m.html"/>
    <hyperlink ref="I53" r:id="rId37" display="https://www.tokopedia.com/find/inverter-solar-pump"/>
    <hyperlink ref="I54" r:id="rId38" display="https://www.tokopedia.com/find/lifepo4-24v-100ah"/>
    <hyperlink ref="I55" r:id="rId39" display="https://shimizu.co.id"/>
    <hyperlink ref="I56" r:id="rId40" display="https://id.scribd.com"/>
    <hyperlink ref="I57" r:id="rId41" display="https://www.tokopedia.com/find/solar-panel-550wp"/>
    <hyperlink ref="I58" r:id="rId42" display="https://shopee.co.id/Solar-Panel-Surya-PV-550WP-Mono-Ber-SNI-550wp-Monocrystalline-SNI-i.378242829.22052287764"/>
    <hyperlink ref="I59" r:id="rId43" display="https://padiumkm.id/product/ae-solar-cell-panel-surya-550wp-sni-mono-type-md-144/6749c8c1a1ee7efbffa3db0b"/>
    <hyperlink ref="I60" r:id="rId44" display="https://solarsuryaindotama.co.id/katalog-produk/module-solar-panel/solar-pv-lesso-hpm-series-550wp-monocystalline"/>
    <hyperlink ref="I61" r:id="rId45" display="https://binakonstruksi.pu.go.id"/>
    <hyperlink ref="I63" r:id="rId46" display="https://www.lazada.co.id/tag/mesin-diesel-jd-330"/>
    <hyperlink ref="I64" r:id="rId47" display="https://shopee.co.id/MESIN-DIESEL-JD330-35HP-JIANGDONG-i.123248750.4255848393"/>
    <hyperlink ref="I65" r:id="rId48" display="https://distributordiesel.com/product/mesin-diesel-35-hp-jiangdong-jd-330-d"/>
    <hyperlink ref="I66" r:id="rId49" display="https://www.tokopedia.com/cetamin/mesin-diesel-jd330-jd-330-35pk-35hp-jiangdong-tanpa-tanki"/>
    <hyperlink ref="I67" r:id="rId50" display="https://www.blibli.com/p/mesin-penggerak-jd-330-d-jiangdong-35-hp-diesel-hopper-starter-35-pk/ps--SUG-70033-00409"/>
    <hyperlink ref="I68" r:id="rId51" display="https://id.scribd.com"/>
    <hyperlink ref="I69" r:id="rId52" display="https://www.tokopedia.com/find/pompa-submersible-4-inch-5-5hp"/>
    <hyperlink ref="I70" r:id="rId53" display="https://www.blibli.com"/>
    <hyperlink ref="I71" r:id="rId54" display="https://sentralpompa.com"/>
    <hyperlink ref="I72" r:id="rId55" display="https://www.lazada.co.id/catalog/?q=kabel%20nym%202x4%20meteran"/>
    <hyperlink ref="I73" r:id="rId56" display="https://juraganmaterial.id"/>
    <hyperlink ref="I74" r:id="rId57" display="https://id.scribd.com"/>
    <hyperlink ref="I77" r:id="rId58" display="https://riskargo.com/cek-tarif/ekspedisi-jakarta-jambi"/>
    <hyperlink ref="I78" r:id="rId59" display="https://snglogistic.com/tarif-pengiriman-jakarta-jambi.html"/>
    <hyperlink ref="I79" r:id="rId60" display="https://insancargo.com/tarif-pengiriman/cargo-darat/ekspedisi-jakarta-muara-tebo"/>
    <hyperlink ref="I80" r:id="rId61" display="https://riskargo.com/cek-tarif/ekspedisi-jakarta-jambi"/>
    <hyperlink ref="I81" r:id="rId62" display="https://www.tokopedia.com/find/solar-panel-550wp"/>
    <hyperlink ref="I82" r:id="rId63" display="https://snglogistic.com"/>
    <hyperlink ref="I83" r:id="rId64" display="https://go-truk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856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858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860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861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863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47" t="n">
        <f aca="false">RINGKASAN!$L$15</f>
        <v>41025000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146</v>
      </c>
      <c r="D15" s="51" t="n">
        <v>40</v>
      </c>
      <c r="E15" s="51" t="n">
        <v>40</v>
      </c>
      <c r="F15" s="34" t="s">
        <v>147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40</v>
      </c>
      <c r="E16" s="51" t="n">
        <v>40</v>
      </c>
      <c r="F16" s="34" t="s">
        <v>147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40</v>
      </c>
      <c r="E17" s="51" t="n">
        <v>40</v>
      </c>
      <c r="F17" s="34" t="s">
        <v>147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40</v>
      </c>
      <c r="E18" s="51" t="n">
        <v>40</v>
      </c>
      <c r="F18" s="34" t="s">
        <v>147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40</v>
      </c>
      <c r="E19" s="51" t="n">
        <v>40</v>
      </c>
      <c r="F19" s="34" t="s">
        <v>147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882</v>
      </c>
      <c r="C24" s="33" t="s">
        <v>166</v>
      </c>
      <c r="D24" s="51" t="n">
        <v>0.1</v>
      </c>
      <c r="E24" s="51" t="n">
        <v>0.1</v>
      </c>
      <c r="F24" s="34" t="s">
        <v>167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883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884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867</v>
      </c>
      <c r="D27" s="6" t="s">
        <v>868</v>
      </c>
      <c r="E27" s="6" t="s">
        <v>869</v>
      </c>
      <c r="F27" s="6" t="s">
        <v>142</v>
      </c>
      <c r="G27" s="6" t="s">
        <v>143</v>
      </c>
      <c r="H27" s="6" t="s">
        <v>870</v>
      </c>
    </row>
    <row r="28" customFormat="false" ht="21.75" hidden="false" customHeight="true" outlineLevel="0" collapsed="false">
      <c r="B28" s="48" t="s">
        <v>885</v>
      </c>
      <c r="C28" s="49" t="s">
        <v>886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887</v>
      </c>
      <c r="C29" s="33" t="s">
        <v>195</v>
      </c>
      <c r="D29" s="51" t="n">
        <v>1</v>
      </c>
      <c r="E29" s="51" t="n">
        <v>1</v>
      </c>
      <c r="F29" s="34" t="s">
        <v>185</v>
      </c>
      <c r="G29" s="7" t="n">
        <f aca="false">'Master of Price'!$G$32</f>
        <v>26200000</v>
      </c>
      <c r="H29" s="7" t="n">
        <f aca="false">E29*G29</f>
        <v>26200000</v>
      </c>
    </row>
    <row r="30" customFormat="false" ht="36" hidden="false" customHeight="true" outlineLevel="0" collapsed="false">
      <c r="B30" s="32" t="s">
        <v>888</v>
      </c>
      <c r="C30" s="33" t="s">
        <v>197</v>
      </c>
      <c r="D30" s="51" t="n">
        <v>1</v>
      </c>
      <c r="E30" s="51" t="n">
        <v>1</v>
      </c>
      <c r="F30" s="34" t="s">
        <v>188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40" t="s">
        <v>889</v>
      </c>
      <c r="C31" s="40"/>
      <c r="D31" s="40"/>
      <c r="E31" s="40"/>
      <c r="F31" s="40"/>
      <c r="G31" s="40"/>
      <c r="H31" s="10" t="n">
        <f aca="false">SUM(H29:H30)</f>
        <v>27700000</v>
      </c>
    </row>
    <row r="32" customFormat="false" ht="21.75" hidden="false" customHeight="true" outlineLevel="0" collapsed="false">
      <c r="B32" s="9" t="s">
        <v>890</v>
      </c>
      <c r="C32" s="9"/>
      <c r="D32" s="9"/>
      <c r="E32" s="9"/>
      <c r="F32" s="9"/>
      <c r="G32" s="9"/>
      <c r="H32" s="52" t="n">
        <f aca="false">H35-(H20+H25+H31)</f>
        <v>-15473000</v>
      </c>
    </row>
    <row r="33" customFormat="false" ht="27.75" hidden="false" customHeight="true" outlineLevel="0" collapsed="false">
      <c r="B33" s="53" t="s">
        <v>891</v>
      </c>
      <c r="C33" s="53"/>
      <c r="D33" s="53"/>
      <c r="E33" s="53"/>
      <c r="F33" s="53"/>
      <c r="G33" s="53"/>
      <c r="H33" s="7" t="n">
        <f aca="false">H20+H25+H31+H32</f>
        <v>41025000</v>
      </c>
    </row>
    <row r="34" customFormat="false" ht="15" hidden="false" customHeight="true" outlineLevel="0" collapsed="false">
      <c r="B34" s="37"/>
      <c r="C34" s="37"/>
      <c r="D34" s="37"/>
      <c r="E34" s="37"/>
      <c r="F34" s="37"/>
      <c r="G34" s="37"/>
      <c r="H34" s="37"/>
    </row>
    <row r="35" customFormat="false" ht="21.75" hidden="false" customHeight="true" outlineLevel="0" collapsed="false">
      <c r="B35" s="54" t="s">
        <v>892</v>
      </c>
      <c r="C35" s="54"/>
      <c r="D35" s="54"/>
      <c r="E35" s="54"/>
      <c r="F35" s="54"/>
      <c r="G35" s="54"/>
      <c r="H35" s="55" t="n">
        <f aca="false">RINGKASAN!$L$15</f>
        <v>41025000</v>
      </c>
    </row>
    <row r="36" customFormat="false" ht="21.75" hidden="false" customHeight="true" outlineLevel="0" collapsed="false">
      <c r="B36" s="56" t="s">
        <v>893</v>
      </c>
      <c r="C36" s="56"/>
      <c r="D36" s="56"/>
      <c r="E36" s="56"/>
      <c r="F36" s="56"/>
      <c r="G36" s="56"/>
      <c r="H36" s="1" t="n">
        <f aca="false">H33-H35</f>
        <v>0</v>
      </c>
    </row>
    <row r="37" customFormat="false" ht="21.75" hidden="false" customHeight="true" outlineLevel="0" collapsed="false">
      <c r="B37" s="56" t="s">
        <v>894</v>
      </c>
      <c r="C37" s="56"/>
      <c r="D37" s="56"/>
      <c r="E37" s="56"/>
      <c r="F37" s="56"/>
      <c r="G37" s="56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37"/>
      <c r="C38" s="37"/>
      <c r="D38" s="37"/>
      <c r="E38" s="37"/>
      <c r="F38" s="37"/>
      <c r="G38" s="37"/>
      <c r="H38" s="37"/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895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4" t="s">
        <v>896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859</v>
      </c>
      <c r="C5" s="4" t="s">
        <v>897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898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862</v>
      </c>
      <c r="C7" s="4" t="s">
        <v>899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864</v>
      </c>
      <c r="C8" s="57" t="n">
        <f aca="false">RINGKASAN!$L$16</f>
        <v>75519821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134</v>
      </c>
      <c r="C9" s="4" t="s">
        <v>865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146</v>
      </c>
      <c r="D15" s="51" t="n">
        <v>40</v>
      </c>
      <c r="E15" s="51" t="n">
        <v>40</v>
      </c>
      <c r="F15" s="34" t="s">
        <v>147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40</v>
      </c>
      <c r="E16" s="51" t="n">
        <v>40</v>
      </c>
      <c r="F16" s="34" t="s">
        <v>147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40</v>
      </c>
      <c r="E17" s="51" t="n">
        <v>40</v>
      </c>
      <c r="F17" s="34" t="s">
        <v>147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40</v>
      </c>
      <c r="E18" s="51" t="n">
        <v>40</v>
      </c>
      <c r="F18" s="34" t="s">
        <v>147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40</v>
      </c>
      <c r="E19" s="51" t="n">
        <v>40</v>
      </c>
      <c r="F19" s="34" t="s">
        <v>147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-1759504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75519821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RINGKASAN!$L$16</f>
        <v>75519821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918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4" t="s">
        <v>896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859</v>
      </c>
      <c r="C5" s="4" t="s">
        <v>919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920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862</v>
      </c>
      <c r="C7" s="4" t="s">
        <v>899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864</v>
      </c>
      <c r="C8" s="57" t="n">
        <f aca="false">RINGKASAN!$L$17</f>
        <v>20011142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134</v>
      </c>
      <c r="C9" s="4" t="s">
        <v>865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146</v>
      </c>
      <c r="D15" s="51" t="n">
        <v>40</v>
      </c>
      <c r="E15" s="51" t="n">
        <v>40</v>
      </c>
      <c r="F15" s="34" t="s">
        <v>147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40</v>
      </c>
      <c r="E16" s="51" t="n">
        <v>40</v>
      </c>
      <c r="F16" s="34" t="s">
        <v>147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40</v>
      </c>
      <c r="E17" s="51" t="n">
        <v>40</v>
      </c>
      <c r="F17" s="34" t="s">
        <v>147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40</v>
      </c>
      <c r="E18" s="51" t="n">
        <v>40</v>
      </c>
      <c r="F18" s="34" t="s">
        <v>147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40</v>
      </c>
      <c r="E19" s="51" t="n">
        <v>40</v>
      </c>
      <c r="F19" s="34" t="s">
        <v>147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882</v>
      </c>
      <c r="C24" s="33" t="s">
        <v>166</v>
      </c>
      <c r="D24" s="51" t="n">
        <v>0.1</v>
      </c>
      <c r="E24" s="51" t="n">
        <v>0.1</v>
      </c>
      <c r="F24" s="34" t="s">
        <v>167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883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884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867</v>
      </c>
      <c r="D27" s="6" t="s">
        <v>868</v>
      </c>
      <c r="E27" s="6" t="s">
        <v>869</v>
      </c>
      <c r="F27" s="6" t="s">
        <v>142</v>
      </c>
      <c r="G27" s="6" t="s">
        <v>143</v>
      </c>
      <c r="H27" s="6" t="s">
        <v>870</v>
      </c>
    </row>
    <row r="28" customFormat="false" ht="21.75" hidden="false" customHeight="true" outlineLevel="0" collapsed="false">
      <c r="B28" s="48" t="s">
        <v>885</v>
      </c>
      <c r="C28" s="49" t="s">
        <v>886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887</v>
      </c>
      <c r="C29" s="33" t="s">
        <v>199</v>
      </c>
      <c r="D29" s="51" t="n">
        <v>1</v>
      </c>
      <c r="E29" s="51" t="n">
        <v>1</v>
      </c>
      <c r="F29" s="34" t="s">
        <v>185</v>
      </c>
      <c r="G29" s="7" t="n">
        <f aca="false">'Master of Price'!$G$34</f>
        <v>6500000</v>
      </c>
      <c r="H29" s="7" t="n">
        <f aca="false">E29*G29</f>
        <v>6500000</v>
      </c>
    </row>
    <row r="30" customFormat="false" ht="36" hidden="false" customHeight="true" outlineLevel="0" collapsed="false">
      <c r="B30" s="32" t="s">
        <v>888</v>
      </c>
      <c r="C30" s="33" t="s">
        <v>201</v>
      </c>
      <c r="D30" s="51" t="n">
        <v>1</v>
      </c>
      <c r="E30" s="51" t="n">
        <v>1</v>
      </c>
      <c r="F30" s="34" t="s">
        <v>188</v>
      </c>
      <c r="G30" s="7" t="n">
        <f aca="false">'Master of Price'!$G$35</f>
        <v>2360000</v>
      </c>
      <c r="H30" s="7" t="n">
        <f aca="false">E30*G30</f>
        <v>2360000</v>
      </c>
    </row>
    <row r="31" customFormat="false" ht="27.75" hidden="false" customHeight="true" outlineLevel="0" collapsed="false">
      <c r="B31" s="32" t="s">
        <v>921</v>
      </c>
      <c r="C31" s="33" t="s">
        <v>203</v>
      </c>
      <c r="D31" s="51" t="n">
        <v>1</v>
      </c>
      <c r="E31" s="51" t="n">
        <v>1</v>
      </c>
      <c r="F31" s="34" t="s">
        <v>188</v>
      </c>
      <c r="G31" s="7" t="n">
        <f aca="false">'Master of Price'!$G$36</f>
        <v>500000</v>
      </c>
      <c r="H31" s="7" t="n">
        <f aca="false">E31*G31</f>
        <v>500000</v>
      </c>
    </row>
    <row r="32" customFormat="false" ht="25.5" hidden="false" customHeight="true" outlineLevel="0" collapsed="false">
      <c r="B32" s="40" t="s">
        <v>889</v>
      </c>
      <c r="C32" s="40"/>
      <c r="D32" s="40"/>
      <c r="E32" s="40"/>
      <c r="F32" s="40"/>
      <c r="G32" s="40"/>
      <c r="H32" s="10" t="n">
        <f aca="false">SUM(H29:H31)</f>
        <v>9360000</v>
      </c>
    </row>
    <row r="33" customFormat="false" ht="21.75" hidden="false" customHeight="true" outlineLevel="0" collapsed="false">
      <c r="B33" s="9" t="s">
        <v>890</v>
      </c>
      <c r="C33" s="9"/>
      <c r="D33" s="9"/>
      <c r="E33" s="9"/>
      <c r="F33" s="9"/>
      <c r="G33" s="9"/>
      <c r="H33" s="52" t="n">
        <f aca="false">H36-(H20+H25+H32)</f>
        <v>-18146858</v>
      </c>
    </row>
    <row r="34" customFormat="false" ht="27.75" hidden="false" customHeight="true" outlineLevel="0" collapsed="false">
      <c r="B34" s="53" t="s">
        <v>891</v>
      </c>
      <c r="C34" s="53"/>
      <c r="D34" s="53"/>
      <c r="E34" s="53"/>
      <c r="F34" s="53"/>
      <c r="G34" s="53"/>
      <c r="H34" s="7" t="n">
        <f aca="false">H20+H25+H32+H33</f>
        <v>20011142</v>
      </c>
    </row>
    <row r="35" customFormat="false" ht="15" hidden="false" customHeight="true" outlineLevel="0" collapsed="false">
      <c r="B35" s="37"/>
      <c r="C35" s="37"/>
      <c r="D35" s="37"/>
      <c r="E35" s="37"/>
      <c r="F35" s="37"/>
      <c r="G35" s="37"/>
      <c r="H35" s="37"/>
    </row>
    <row r="36" customFormat="false" ht="21.75" hidden="false" customHeight="true" outlineLevel="0" collapsed="false">
      <c r="B36" s="54" t="s">
        <v>892</v>
      </c>
      <c r="C36" s="54"/>
      <c r="D36" s="54"/>
      <c r="E36" s="54"/>
      <c r="F36" s="54"/>
      <c r="G36" s="54"/>
      <c r="H36" s="55" t="n">
        <f aca="false">RINGKASAN!$L$17</f>
        <v>20011142</v>
      </c>
    </row>
    <row r="37" customFormat="false" ht="21.75" hidden="false" customHeight="true" outlineLevel="0" collapsed="false">
      <c r="B37" s="56" t="s">
        <v>893</v>
      </c>
      <c r="C37" s="56"/>
      <c r="D37" s="56"/>
      <c r="E37" s="56"/>
      <c r="F37" s="56"/>
      <c r="G37" s="56"/>
      <c r="H37" s="1" t="n">
        <f aca="false">H34-H36</f>
        <v>0</v>
      </c>
    </row>
    <row r="38" customFormat="false" ht="21.75" hidden="false" customHeight="true" outlineLevel="0" collapsed="false">
      <c r="B38" s="56" t="s">
        <v>894</v>
      </c>
      <c r="C38" s="56"/>
      <c r="D38" s="56"/>
      <c r="E38" s="56"/>
      <c r="F38" s="56"/>
      <c r="G38" s="56"/>
      <c r="H38" s="1" t="str">
        <f aca="false">IF(H33&lt;0,"OVER BUDGET","OK")</f>
        <v>OVER BUDGET</v>
      </c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922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4" t="s">
        <v>923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859</v>
      </c>
      <c r="C5" s="4" t="s">
        <v>924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898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862</v>
      </c>
      <c r="C7" s="4" t="s">
        <v>925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864</v>
      </c>
      <c r="C8" s="57" t="n">
        <f aca="false">RINGKASAN!$L$18</f>
        <v>71546115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134</v>
      </c>
      <c r="C9" s="4" t="s">
        <v>865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157</v>
      </c>
      <c r="D15" s="51" t="n">
        <v>25</v>
      </c>
      <c r="E15" s="51" t="n">
        <v>25</v>
      </c>
      <c r="F15" s="34" t="s">
        <v>147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25</v>
      </c>
      <c r="E16" s="51" t="n">
        <v>25</v>
      </c>
      <c r="F16" s="34" t="s">
        <v>147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25</v>
      </c>
      <c r="E17" s="51" t="n">
        <v>25</v>
      </c>
      <c r="F17" s="34" t="s">
        <v>147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25</v>
      </c>
      <c r="E18" s="51" t="n">
        <v>25</v>
      </c>
      <c r="F18" s="34" t="s">
        <v>147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25</v>
      </c>
      <c r="E19" s="51" t="n">
        <v>25</v>
      </c>
      <c r="F19" s="34" t="s">
        <v>147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5028540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71546115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RINGKASAN!$L$18</f>
        <v>71546115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926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4" t="s">
        <v>927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859</v>
      </c>
      <c r="C5" s="4" t="s">
        <v>928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898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862</v>
      </c>
      <c r="C7" s="4" t="s">
        <v>925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864</v>
      </c>
      <c r="C8" s="57" t="n">
        <f aca="false">RINGKASAN!$L$19</f>
        <v>77842230</v>
      </c>
      <c r="D8" s="57"/>
      <c r="E8" s="57"/>
      <c r="F8" s="57"/>
      <c r="G8" s="57"/>
      <c r="H8" s="57"/>
    </row>
    <row r="9" customFormat="false" ht="15" hidden="false" customHeight="true" outlineLevel="0" collapsed="false">
      <c r="B9" s="3" t="s">
        <v>134</v>
      </c>
      <c r="C9" s="4" t="s">
        <v>865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157</v>
      </c>
      <c r="D15" s="51" t="n">
        <v>25</v>
      </c>
      <c r="E15" s="51" t="n">
        <v>25</v>
      </c>
      <c r="F15" s="34" t="s">
        <v>147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25</v>
      </c>
      <c r="E16" s="51" t="n">
        <v>25</v>
      </c>
      <c r="F16" s="34" t="s">
        <v>147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25</v>
      </c>
      <c r="E17" s="51" t="n">
        <v>25</v>
      </c>
      <c r="F17" s="34" t="s">
        <v>147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25</v>
      </c>
      <c r="E18" s="51" t="n">
        <v>25</v>
      </c>
      <c r="F18" s="34" t="s">
        <v>147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25</v>
      </c>
      <c r="E19" s="51" t="n">
        <v>25</v>
      </c>
      <c r="F19" s="34" t="s">
        <v>147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11324655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77842230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RINGKASAN!$L$19</f>
        <v>77842230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929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927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930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925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47" t="n">
        <f aca="false">RINGKASAN!$L$20</f>
        <v>77842230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157</v>
      </c>
      <c r="D15" s="51" t="n">
        <v>25</v>
      </c>
      <c r="E15" s="51" t="n">
        <v>25</v>
      </c>
      <c r="F15" s="34" t="s">
        <v>147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25</v>
      </c>
      <c r="E16" s="51" t="n">
        <v>25</v>
      </c>
      <c r="F16" s="34" t="s">
        <v>147</v>
      </c>
      <c r="G16" s="7" t="n">
        <f aca="false">'Master of Price'!$G$13</f>
        <v>214700</v>
      </c>
      <c r="H16" s="7" t="n">
        <f aca="false">E16*G16</f>
        <v>5367500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25</v>
      </c>
      <c r="E17" s="51" t="n">
        <v>25</v>
      </c>
      <c r="F17" s="34" t="s">
        <v>147</v>
      </c>
      <c r="G17" s="7" t="n">
        <f aca="false">'Master of Price'!$G$14</f>
        <v>30750</v>
      </c>
      <c r="H17" s="7" t="n">
        <f aca="false">E17*G17</f>
        <v>768750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25</v>
      </c>
      <c r="E18" s="51" t="n">
        <v>25</v>
      </c>
      <c r="F18" s="34" t="s">
        <v>147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25</v>
      </c>
      <c r="E19" s="51" t="n">
        <v>25</v>
      </c>
      <c r="F19" s="34" t="s">
        <v>147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17936250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11324655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77842230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RINGKASAN!$L$20</f>
        <v>77842230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931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932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933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861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863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47" t="n">
        <f aca="false">RINGKASAN!$L$21</f>
        <v>41250000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146</v>
      </c>
      <c r="D15" s="51" t="n">
        <v>40</v>
      </c>
      <c r="E15" s="51" t="n">
        <v>40</v>
      </c>
      <c r="F15" s="34" t="s">
        <v>147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40</v>
      </c>
      <c r="E16" s="51" t="n">
        <v>40</v>
      </c>
      <c r="F16" s="34" t="s">
        <v>147</v>
      </c>
      <c r="G16" s="7" t="n">
        <f aca="false">'Master of Price'!$G$13</f>
        <v>214700</v>
      </c>
      <c r="H16" s="7" t="n">
        <f aca="false">E16*G16</f>
        <v>8588000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40</v>
      </c>
      <c r="E17" s="51" t="n">
        <v>40</v>
      </c>
      <c r="F17" s="34" t="s">
        <v>147</v>
      </c>
      <c r="G17" s="7" t="n">
        <f aca="false">'Master of Price'!$G$14</f>
        <v>30750</v>
      </c>
      <c r="H17" s="7" t="n">
        <f aca="false">E17*G17</f>
        <v>1230000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40</v>
      </c>
      <c r="E18" s="51" t="n">
        <v>40</v>
      </c>
      <c r="F18" s="34" t="s">
        <v>147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40</v>
      </c>
      <c r="E19" s="51" t="n">
        <v>40</v>
      </c>
      <c r="F19" s="34" t="s">
        <v>147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28698000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36" hidden="false" customHeight="true" outlineLevel="0" collapsed="false">
      <c r="B24" s="32" t="s">
        <v>882</v>
      </c>
      <c r="C24" s="33" t="s">
        <v>166</v>
      </c>
      <c r="D24" s="51" t="n">
        <v>0.1</v>
      </c>
      <c r="E24" s="51" t="n">
        <v>0.1</v>
      </c>
      <c r="F24" s="34" t="s">
        <v>167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40" t="s">
        <v>883</v>
      </c>
      <c r="C25" s="40"/>
      <c r="D25" s="40"/>
      <c r="E25" s="40"/>
      <c r="F25" s="40"/>
      <c r="G25" s="40"/>
      <c r="H25" s="10" t="n">
        <f aca="false">SUM(H24)</f>
        <v>100000</v>
      </c>
    </row>
    <row r="26" customFormat="false" ht="21.75" hidden="false" customHeight="true" outlineLevel="0" collapsed="false">
      <c r="B26" s="15" t="s">
        <v>884</v>
      </c>
      <c r="C26" s="15"/>
      <c r="D26" s="15"/>
      <c r="E26" s="15"/>
      <c r="F26" s="15"/>
      <c r="G26" s="15"/>
      <c r="H26" s="15"/>
    </row>
    <row r="27" customFormat="false" ht="27.75" hidden="false" customHeight="true" outlineLevel="0" collapsed="false">
      <c r="B27" s="6" t="s">
        <v>16</v>
      </c>
      <c r="C27" s="6" t="s">
        <v>867</v>
      </c>
      <c r="D27" s="6" t="s">
        <v>868</v>
      </c>
      <c r="E27" s="6" t="s">
        <v>869</v>
      </c>
      <c r="F27" s="6" t="s">
        <v>142</v>
      </c>
      <c r="G27" s="6" t="s">
        <v>143</v>
      </c>
      <c r="H27" s="6" t="s">
        <v>870</v>
      </c>
    </row>
    <row r="28" customFormat="false" ht="21.75" hidden="false" customHeight="true" outlineLevel="0" collapsed="false">
      <c r="B28" s="48" t="s">
        <v>885</v>
      </c>
      <c r="C28" s="49" t="s">
        <v>886</v>
      </c>
      <c r="D28" s="50"/>
      <c r="E28" s="50"/>
      <c r="F28" s="50"/>
      <c r="G28" s="50"/>
      <c r="H28" s="50"/>
    </row>
    <row r="29" customFormat="false" ht="36" hidden="false" customHeight="true" outlineLevel="0" collapsed="false">
      <c r="B29" s="32" t="s">
        <v>887</v>
      </c>
      <c r="C29" s="33" t="s">
        <v>195</v>
      </c>
      <c r="D29" s="51" t="n">
        <v>1</v>
      </c>
      <c r="E29" s="51" t="n">
        <v>1</v>
      </c>
      <c r="F29" s="34" t="s">
        <v>185</v>
      </c>
      <c r="G29" s="7" t="n">
        <f aca="false">'Master of Price'!$G$32</f>
        <v>26200000</v>
      </c>
      <c r="H29" s="7" t="n">
        <f aca="false">E29*G29</f>
        <v>26200000</v>
      </c>
    </row>
    <row r="30" customFormat="false" ht="36" hidden="false" customHeight="true" outlineLevel="0" collapsed="false">
      <c r="B30" s="32" t="s">
        <v>888</v>
      </c>
      <c r="C30" s="33" t="s">
        <v>197</v>
      </c>
      <c r="D30" s="51" t="n">
        <v>1</v>
      </c>
      <c r="E30" s="51" t="n">
        <v>1</v>
      </c>
      <c r="F30" s="34" t="s">
        <v>188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40" t="s">
        <v>889</v>
      </c>
      <c r="C31" s="40"/>
      <c r="D31" s="40"/>
      <c r="E31" s="40"/>
      <c r="F31" s="40"/>
      <c r="G31" s="40"/>
      <c r="H31" s="10" t="n">
        <f aca="false">SUM(H29:H30)</f>
        <v>27700000</v>
      </c>
    </row>
    <row r="32" customFormat="false" ht="21.75" hidden="false" customHeight="true" outlineLevel="0" collapsed="false">
      <c r="B32" s="9" t="s">
        <v>890</v>
      </c>
      <c r="C32" s="9"/>
      <c r="D32" s="9"/>
      <c r="E32" s="9"/>
      <c r="F32" s="9"/>
      <c r="G32" s="9"/>
      <c r="H32" s="52" t="n">
        <f aca="false">H35-(H20+H25+H31)</f>
        <v>-15248000</v>
      </c>
    </row>
    <row r="33" customFormat="false" ht="27.75" hidden="false" customHeight="true" outlineLevel="0" collapsed="false">
      <c r="B33" s="53" t="s">
        <v>891</v>
      </c>
      <c r="C33" s="53"/>
      <c r="D33" s="53"/>
      <c r="E33" s="53"/>
      <c r="F33" s="53"/>
      <c r="G33" s="53"/>
      <c r="H33" s="7" t="n">
        <f aca="false">H20+H25+H31+H32</f>
        <v>41250000</v>
      </c>
    </row>
    <row r="34" customFormat="false" ht="15" hidden="false" customHeight="true" outlineLevel="0" collapsed="false">
      <c r="B34" s="37"/>
      <c r="C34" s="37"/>
      <c r="D34" s="37"/>
      <c r="E34" s="37"/>
      <c r="F34" s="37"/>
      <c r="G34" s="37"/>
      <c r="H34" s="37"/>
    </row>
    <row r="35" customFormat="false" ht="21.75" hidden="false" customHeight="true" outlineLevel="0" collapsed="false">
      <c r="B35" s="54" t="s">
        <v>892</v>
      </c>
      <c r="C35" s="54"/>
      <c r="D35" s="54"/>
      <c r="E35" s="54"/>
      <c r="F35" s="54"/>
      <c r="G35" s="54"/>
      <c r="H35" s="55" t="n">
        <f aca="false">RINGKASAN!$L$21</f>
        <v>41250000</v>
      </c>
    </row>
    <row r="36" customFormat="false" ht="21.75" hidden="false" customHeight="true" outlineLevel="0" collapsed="false">
      <c r="B36" s="56" t="s">
        <v>893</v>
      </c>
      <c r="C36" s="56"/>
      <c r="D36" s="56"/>
      <c r="E36" s="56"/>
      <c r="F36" s="56"/>
      <c r="G36" s="56"/>
      <c r="H36" s="1" t="n">
        <f aca="false">H33-H35</f>
        <v>0</v>
      </c>
    </row>
    <row r="37" customFormat="false" ht="21.75" hidden="false" customHeight="true" outlineLevel="0" collapsed="false">
      <c r="B37" s="56" t="s">
        <v>894</v>
      </c>
      <c r="C37" s="56"/>
      <c r="D37" s="56"/>
      <c r="E37" s="56"/>
      <c r="F37" s="56"/>
      <c r="G37" s="56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37"/>
      <c r="C38" s="37"/>
      <c r="D38" s="37"/>
      <c r="E38" s="37"/>
      <c r="F38" s="37"/>
      <c r="G38" s="37"/>
      <c r="H38" s="37"/>
    </row>
    <row r="39" customFormat="false" ht="15" hidden="false" customHeight="true" outlineLevel="0" collapsed="false">
      <c r="B39" s="37"/>
      <c r="C39" s="37"/>
      <c r="D39" s="37"/>
      <c r="E39" s="37"/>
      <c r="F39" s="37"/>
      <c r="G39" s="37"/>
      <c r="H39" s="37"/>
    </row>
    <row r="40" customFormat="false" ht="15" hidden="false" customHeight="true" outlineLevel="0" collapsed="false">
      <c r="B40" s="37"/>
      <c r="C40" s="37"/>
      <c r="D40" s="37"/>
      <c r="E40" s="37"/>
      <c r="F40" s="37"/>
      <c r="G40" s="37"/>
      <c r="H40" s="37"/>
    </row>
    <row r="41" customFormat="false" ht="15" hidden="false" customHeight="true" outlineLevel="0" collapsed="false">
      <c r="B41" s="37"/>
      <c r="C41" s="37"/>
      <c r="D41" s="37"/>
      <c r="E41" s="37"/>
      <c r="F41" s="37"/>
      <c r="G41" s="37"/>
      <c r="H41" s="37"/>
    </row>
    <row r="42" customFormat="false" ht="15" hidden="false" customHeight="true" outlineLevel="0" collapsed="false">
      <c r="B42" s="37"/>
      <c r="C42" s="37"/>
      <c r="D42" s="37"/>
      <c r="E42" s="37"/>
      <c r="F42" s="37"/>
      <c r="G42" s="37"/>
      <c r="H42" s="37"/>
    </row>
    <row r="43" customFormat="false" ht="15" hidden="false" customHeight="true" outlineLevel="0" collapsed="false">
      <c r="B43" s="37"/>
      <c r="C43" s="37"/>
      <c r="D43" s="37"/>
      <c r="E43" s="37"/>
      <c r="F43" s="37"/>
      <c r="G43" s="37"/>
      <c r="H43" s="37"/>
    </row>
    <row r="44" customFormat="false" ht="15" hidden="false" customHeight="true" outlineLevel="0" collapsed="false">
      <c r="B44" s="37"/>
      <c r="C44" s="37"/>
      <c r="D44" s="37"/>
      <c r="E44" s="37"/>
      <c r="F44" s="37"/>
      <c r="G44" s="37"/>
      <c r="H44" s="37"/>
    </row>
    <row r="45" customFormat="false" ht="15" hidden="false" customHeight="true" outlineLevel="0" collapsed="false">
      <c r="B45" s="37"/>
      <c r="C45" s="37"/>
      <c r="D45" s="37"/>
      <c r="E45" s="37"/>
      <c r="F45" s="37"/>
      <c r="G45" s="37"/>
      <c r="H45" s="37"/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15" hidden="false" customHeight="true" outlineLevel="0" collapsed="false">
      <c r="B47" s="37"/>
      <c r="C47" s="37"/>
      <c r="D47" s="37"/>
      <c r="E47" s="37"/>
      <c r="F47" s="37"/>
      <c r="G47" s="37"/>
      <c r="H47" s="37"/>
    </row>
    <row r="48" customFormat="false" ht="15" hidden="false" customHeight="true" outlineLevel="0" collapsed="false">
      <c r="B48" s="37"/>
      <c r="C48" s="37"/>
      <c r="D48" s="37"/>
      <c r="E48" s="37"/>
      <c r="F48" s="37"/>
      <c r="G48" s="37"/>
      <c r="H48" s="37"/>
    </row>
    <row r="49" customFormat="false" ht="15" hidden="false" customHeight="true" outlineLevel="0" collapsed="false">
      <c r="B49" s="37"/>
      <c r="C49" s="37"/>
      <c r="D49" s="37"/>
      <c r="E49" s="37"/>
      <c r="F49" s="37"/>
      <c r="G49" s="37"/>
      <c r="H49" s="37"/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934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935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936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937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47" t="n">
        <f aca="false">RINGKASAN!$L$22</f>
        <v>74785598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159</v>
      </c>
      <c r="D15" s="51" t="n">
        <v>34</v>
      </c>
      <c r="E15" s="51" t="n">
        <v>34</v>
      </c>
      <c r="F15" s="34" t="s">
        <v>147</v>
      </c>
      <c r="G15" s="7" t="n">
        <f aca="false">'Master of Price'!$G$18</f>
        <v>352000</v>
      </c>
      <c r="H15" s="7" t="n">
        <f aca="false">E15*G15</f>
        <v>11968000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34</v>
      </c>
      <c r="E16" s="51" t="n">
        <v>34</v>
      </c>
      <c r="F16" s="34" t="s">
        <v>147</v>
      </c>
      <c r="G16" s="7" t="n">
        <f aca="false">'Master of Price'!$G$13</f>
        <v>214700</v>
      </c>
      <c r="H16" s="7" t="n">
        <f aca="false">E16*G16</f>
        <v>7299800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34</v>
      </c>
      <c r="E17" s="51" t="n">
        <v>34</v>
      </c>
      <c r="F17" s="34" t="s">
        <v>147</v>
      </c>
      <c r="G17" s="7" t="n">
        <f aca="false">'Master of Price'!$G$14</f>
        <v>30750</v>
      </c>
      <c r="H17" s="7" t="n">
        <f aca="false">E17*G17</f>
        <v>1045500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34</v>
      </c>
      <c r="E18" s="51" t="n">
        <v>34</v>
      </c>
      <c r="F18" s="34" t="s">
        <v>147</v>
      </c>
      <c r="G18" s="7" t="n">
        <f aca="false">'Master of Price'!$G$15</f>
        <v>45000</v>
      </c>
      <c r="H18" s="7" t="n">
        <f aca="false">E18*G18</f>
        <v>1530000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34</v>
      </c>
      <c r="E19" s="51" t="n">
        <v>34</v>
      </c>
      <c r="F19" s="34" t="s">
        <v>147</v>
      </c>
      <c r="G19" s="7" t="n">
        <f aca="false">'Master of Price'!$G$16</f>
        <v>75000</v>
      </c>
      <c r="H19" s="7" t="n">
        <f aca="false">E19*G19</f>
        <v>2550000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24393300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1810973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74785598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RINGKASAN!$L$22</f>
        <v>74785598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OK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938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4" t="s">
        <v>939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859</v>
      </c>
      <c r="C5" s="4" t="s">
        <v>940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898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862</v>
      </c>
      <c r="C7" s="4" t="s">
        <v>941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864</v>
      </c>
      <c r="C8" s="58" t="n">
        <f aca="false">RINGKASAN!$L$23</f>
        <v>77615423.25</v>
      </c>
      <c r="D8" s="58"/>
      <c r="E8" s="58"/>
      <c r="F8" s="58"/>
      <c r="G8" s="58"/>
      <c r="H8" s="58"/>
    </row>
    <row r="9" customFormat="false" ht="15" hidden="false" customHeight="true" outlineLevel="0" collapsed="false">
      <c r="B9" s="3" t="s">
        <v>134</v>
      </c>
      <c r="C9" s="4" t="s">
        <v>865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161</v>
      </c>
      <c r="D15" s="51" t="n">
        <v>45</v>
      </c>
      <c r="E15" s="51" t="n">
        <v>45</v>
      </c>
      <c r="F15" s="34" t="s">
        <v>147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45</v>
      </c>
      <c r="E16" s="51" t="n">
        <v>45</v>
      </c>
      <c r="F16" s="34" t="s">
        <v>147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45</v>
      </c>
      <c r="E17" s="51" t="n">
        <v>45</v>
      </c>
      <c r="F17" s="34" t="s">
        <v>147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45</v>
      </c>
      <c r="E18" s="51" t="n">
        <v>45</v>
      </c>
      <c r="F18" s="34" t="s">
        <v>147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45</v>
      </c>
      <c r="E19" s="51" t="n">
        <v>45</v>
      </c>
      <c r="F19" s="34" t="s">
        <v>147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9" t="n">
        <f aca="false">RINGKASAN!$L$23</f>
        <v>77615423.25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942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939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943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941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60" t="n">
        <f aca="false">RINGKASAN!$L$24</f>
        <v>77615423.25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161</v>
      </c>
      <c r="D15" s="51" t="n">
        <v>45</v>
      </c>
      <c r="E15" s="51" t="n">
        <v>45</v>
      </c>
      <c r="F15" s="34" t="s">
        <v>147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45</v>
      </c>
      <c r="E16" s="51" t="n">
        <v>45</v>
      </c>
      <c r="F16" s="34" t="s">
        <v>147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45</v>
      </c>
      <c r="E17" s="51" t="n">
        <v>45</v>
      </c>
      <c r="F17" s="34" t="s">
        <v>147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45</v>
      </c>
      <c r="E18" s="51" t="n">
        <v>45</v>
      </c>
      <c r="F18" s="34" t="s">
        <v>147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45</v>
      </c>
      <c r="E19" s="51" t="n">
        <v>45</v>
      </c>
      <c r="F19" s="34" t="s">
        <v>147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9" t="n">
        <f aca="false">RINGKASAN!$L$24</f>
        <v>77615423.25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944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939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945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941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60" t="n">
        <f aca="false">RINGKASAN!$L$25</f>
        <v>77615423.25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161</v>
      </c>
      <c r="D15" s="51" t="n">
        <v>45</v>
      </c>
      <c r="E15" s="51" t="n">
        <v>45</v>
      </c>
      <c r="F15" s="34" t="s">
        <v>147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45</v>
      </c>
      <c r="E16" s="51" t="n">
        <v>45</v>
      </c>
      <c r="F16" s="34" t="s">
        <v>147</v>
      </c>
      <c r="G16" s="7" t="n">
        <f aca="false">'Master of Price'!$G$13</f>
        <v>214700</v>
      </c>
      <c r="H16" s="7" t="n">
        <f aca="false">E16*G16</f>
        <v>9661500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45</v>
      </c>
      <c r="E17" s="51" t="n">
        <v>45</v>
      </c>
      <c r="F17" s="34" t="s">
        <v>147</v>
      </c>
      <c r="G17" s="7" t="n">
        <f aca="false">'Master of Price'!$G$14</f>
        <v>30750</v>
      </c>
      <c r="H17" s="7" t="n">
        <f aca="false">E17*G17</f>
        <v>1383750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45</v>
      </c>
      <c r="E18" s="51" t="n">
        <v>45</v>
      </c>
      <c r="F18" s="34" t="s">
        <v>147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45</v>
      </c>
      <c r="E19" s="51" t="n">
        <v>45</v>
      </c>
      <c r="F19" s="34" t="s">
        <v>147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32285250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-3251151.75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77615423.25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9" t="n">
        <f aca="false">RINGKASAN!$L$25</f>
        <v>77615423.25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1" customFormat="false" ht="15" hidden="false" customHeight="false" outlineLevel="0" collapsed="false"/>
    <row r="2" customFormat="false" ht="19.5" hidden="false" customHeight="true" outlineLevel="0" collapsed="false">
      <c r="B2" s="2" t="s">
        <v>946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/>
    <row r="4" customFormat="false" ht="15" hidden="false" customHeight="true" outlineLevel="0" collapsed="false">
      <c r="B4" s="3" t="s">
        <v>857</v>
      </c>
      <c r="C4" s="30" t="s">
        <v>947</v>
      </c>
      <c r="D4" s="30"/>
      <c r="E4" s="30"/>
      <c r="F4" s="30"/>
      <c r="G4" s="30"/>
      <c r="H4" s="30"/>
    </row>
    <row r="5" customFormat="false" ht="15" hidden="false" customHeight="true" outlineLevel="0" collapsed="false">
      <c r="B5" s="3" t="s">
        <v>859</v>
      </c>
      <c r="C5" s="30" t="s">
        <v>948</v>
      </c>
      <c r="D5" s="30"/>
      <c r="E5" s="30"/>
      <c r="F5" s="30"/>
      <c r="G5" s="30"/>
      <c r="H5" s="30"/>
    </row>
    <row r="6" customFormat="false" ht="15" hidden="false" customHeight="true" outlineLevel="0" collapsed="false">
      <c r="B6" s="3" t="s">
        <v>18</v>
      </c>
      <c r="C6" s="30" t="s">
        <v>898</v>
      </c>
      <c r="D6" s="30"/>
      <c r="E6" s="30"/>
      <c r="F6" s="30"/>
      <c r="G6" s="30"/>
      <c r="H6" s="30"/>
    </row>
    <row r="7" customFormat="false" ht="15" hidden="false" customHeight="true" outlineLevel="0" collapsed="false">
      <c r="B7" s="3" t="s">
        <v>862</v>
      </c>
      <c r="C7" s="30" t="s">
        <v>949</v>
      </c>
      <c r="D7" s="30"/>
      <c r="E7" s="30"/>
      <c r="F7" s="30"/>
      <c r="G7" s="30"/>
      <c r="H7" s="30"/>
    </row>
    <row r="8" customFormat="false" ht="15" hidden="false" customHeight="true" outlineLevel="0" collapsed="false">
      <c r="B8" s="3" t="s">
        <v>864</v>
      </c>
      <c r="C8" s="47" t="n">
        <f aca="false">RINGKASAN!$L$26</f>
        <v>75939562</v>
      </c>
      <c r="D8" s="47"/>
      <c r="E8" s="47"/>
      <c r="F8" s="47"/>
      <c r="G8" s="47"/>
      <c r="H8" s="47"/>
    </row>
    <row r="9" customFormat="false" ht="15" hidden="false" customHeight="true" outlineLevel="0" collapsed="false">
      <c r="B9" s="3" t="s">
        <v>134</v>
      </c>
      <c r="C9" s="30" t="s">
        <v>865</v>
      </c>
      <c r="D9" s="30"/>
      <c r="E9" s="30"/>
      <c r="F9" s="30"/>
      <c r="G9" s="30"/>
      <c r="H9" s="30"/>
    </row>
    <row r="10" customFormat="false" ht="15" hidden="false" customHeight="true" outlineLevel="0" collapsed="false">
      <c r="B10" s="3" t="s">
        <v>9</v>
      </c>
      <c r="C10" s="30" t="s">
        <v>10</v>
      </c>
      <c r="D10" s="30"/>
      <c r="E10" s="30"/>
      <c r="F10" s="30"/>
      <c r="G10" s="30"/>
      <c r="H10" s="30"/>
    </row>
    <row r="11" customFormat="false" ht="15" hidden="false" customHeight="false" outlineLevel="0" collapsed="false"/>
    <row r="12" customFormat="false" ht="21.75" hidden="false" customHeight="true" outlineLevel="0" collapsed="false">
      <c r="B12" s="15" t="s">
        <v>866</v>
      </c>
      <c r="C12" s="15"/>
      <c r="D12" s="15"/>
      <c r="E12" s="15"/>
      <c r="F12" s="15"/>
      <c r="G12" s="15"/>
      <c r="H12" s="15"/>
    </row>
    <row r="13" customFormat="false" ht="27.75" hidden="false" customHeight="true" outlineLevel="0" collapsed="false">
      <c r="B13" s="6" t="s">
        <v>16</v>
      </c>
      <c r="C13" s="6" t="s">
        <v>867</v>
      </c>
      <c r="D13" s="6" t="s">
        <v>868</v>
      </c>
      <c r="E13" s="6" t="s">
        <v>869</v>
      </c>
      <c r="F13" s="6" t="s">
        <v>142</v>
      </c>
      <c r="G13" s="6" t="s">
        <v>143</v>
      </c>
      <c r="H13" s="6" t="s">
        <v>870</v>
      </c>
    </row>
    <row r="14" customFormat="false" ht="21.75" hidden="false" customHeight="true" outlineLevel="0" collapsed="false">
      <c r="B14" s="48" t="s">
        <v>871</v>
      </c>
      <c r="C14" s="49" t="s">
        <v>872</v>
      </c>
      <c r="D14" s="50"/>
      <c r="E14" s="50"/>
      <c r="F14" s="50"/>
      <c r="G14" s="50"/>
      <c r="H14" s="50"/>
    </row>
    <row r="15" customFormat="false" ht="36" hidden="false" customHeight="true" outlineLevel="0" collapsed="false">
      <c r="B15" s="32" t="s">
        <v>873</v>
      </c>
      <c r="C15" s="33" t="s">
        <v>163</v>
      </c>
      <c r="D15" s="51" t="n">
        <v>42</v>
      </c>
      <c r="E15" s="51" t="n">
        <v>42</v>
      </c>
      <c r="F15" s="34" t="s">
        <v>147</v>
      </c>
      <c r="G15" s="7" t="n">
        <f aca="false">'Master of Price'!$G$20</f>
        <v>352000</v>
      </c>
      <c r="H15" s="7" t="n">
        <f aca="false">E15*G15</f>
        <v>14784000</v>
      </c>
    </row>
    <row r="16" customFormat="false" ht="27.75" hidden="false" customHeight="true" outlineLevel="0" collapsed="false">
      <c r="B16" s="32" t="s">
        <v>874</v>
      </c>
      <c r="C16" s="33" t="s">
        <v>149</v>
      </c>
      <c r="D16" s="51" t="n">
        <v>42</v>
      </c>
      <c r="E16" s="51" t="n">
        <v>42</v>
      </c>
      <c r="F16" s="34" t="s">
        <v>147</v>
      </c>
      <c r="G16" s="7" t="n">
        <f aca="false">'Master of Price'!$G$13</f>
        <v>214700</v>
      </c>
      <c r="H16" s="7" t="n">
        <f aca="false">E16*G16</f>
        <v>9017400</v>
      </c>
    </row>
    <row r="17" customFormat="false" ht="27.75" hidden="false" customHeight="true" outlineLevel="0" collapsed="false">
      <c r="B17" s="32" t="s">
        <v>875</v>
      </c>
      <c r="C17" s="33" t="s">
        <v>151</v>
      </c>
      <c r="D17" s="51" t="n">
        <v>42</v>
      </c>
      <c r="E17" s="51" t="n">
        <v>42</v>
      </c>
      <c r="F17" s="34" t="s">
        <v>147</v>
      </c>
      <c r="G17" s="7" t="n">
        <f aca="false">'Master of Price'!$G$14</f>
        <v>30750</v>
      </c>
      <c r="H17" s="7" t="n">
        <f aca="false">E17*G17</f>
        <v>1291500</v>
      </c>
    </row>
    <row r="18" customFormat="false" ht="27.75" hidden="false" customHeight="true" outlineLevel="0" collapsed="false">
      <c r="B18" s="32" t="s">
        <v>876</v>
      </c>
      <c r="C18" s="33" t="s">
        <v>153</v>
      </c>
      <c r="D18" s="51" t="n">
        <v>42</v>
      </c>
      <c r="E18" s="51" t="n">
        <v>42</v>
      </c>
      <c r="F18" s="34" t="s">
        <v>147</v>
      </c>
      <c r="G18" s="7" t="n">
        <f aca="false">'Master of Price'!$G$15</f>
        <v>45000</v>
      </c>
      <c r="H18" s="7" t="n">
        <f aca="false">E18*G18</f>
        <v>1890000</v>
      </c>
    </row>
    <row r="19" customFormat="false" ht="27.75" hidden="false" customHeight="true" outlineLevel="0" collapsed="false">
      <c r="B19" s="32" t="s">
        <v>877</v>
      </c>
      <c r="C19" s="33" t="s">
        <v>155</v>
      </c>
      <c r="D19" s="51" t="n">
        <v>42</v>
      </c>
      <c r="E19" s="51" t="n">
        <v>42</v>
      </c>
      <c r="F19" s="34" t="s">
        <v>147</v>
      </c>
      <c r="G19" s="7" t="n">
        <f aca="false">'Master of Price'!$G$16</f>
        <v>75000</v>
      </c>
      <c r="H19" s="7" t="n">
        <f aca="false">E19*G19</f>
        <v>3150000</v>
      </c>
    </row>
    <row r="20" customFormat="false" ht="25.5" hidden="false" customHeight="true" outlineLevel="0" collapsed="false">
      <c r="B20" s="40" t="s">
        <v>878</v>
      </c>
      <c r="C20" s="40"/>
      <c r="D20" s="40"/>
      <c r="E20" s="40"/>
      <c r="F20" s="40"/>
      <c r="G20" s="40"/>
      <c r="H20" s="10" t="n">
        <f aca="false">SUM(H15:H19)</f>
        <v>30132900</v>
      </c>
    </row>
    <row r="21" customFormat="false" ht="21.75" hidden="false" customHeight="true" outlineLevel="0" collapsed="false">
      <c r="B21" s="15" t="s">
        <v>879</v>
      </c>
      <c r="C21" s="15"/>
      <c r="D21" s="15"/>
      <c r="E21" s="15"/>
      <c r="F21" s="15"/>
      <c r="G21" s="15"/>
      <c r="H21" s="15"/>
    </row>
    <row r="22" customFormat="false" ht="27.75" hidden="false" customHeight="true" outlineLevel="0" collapsed="false">
      <c r="B22" s="6" t="s">
        <v>16</v>
      </c>
      <c r="C22" s="6" t="s">
        <v>867</v>
      </c>
      <c r="D22" s="6" t="s">
        <v>868</v>
      </c>
      <c r="E22" s="6" t="s">
        <v>869</v>
      </c>
      <c r="F22" s="6" t="s">
        <v>142</v>
      </c>
      <c r="G22" s="6" t="s">
        <v>143</v>
      </c>
      <c r="H22" s="6" t="s">
        <v>870</v>
      </c>
    </row>
    <row r="23" customFormat="false" ht="21.75" hidden="false" customHeight="true" outlineLevel="0" collapsed="false">
      <c r="B23" s="48" t="s">
        <v>880</v>
      </c>
      <c r="C23" s="49" t="s">
        <v>881</v>
      </c>
      <c r="D23" s="50"/>
      <c r="E23" s="50"/>
      <c r="F23" s="50"/>
      <c r="G23" s="50"/>
      <c r="H23" s="50"/>
    </row>
    <row r="24" customFormat="false" ht="27.75" hidden="false" customHeight="true" outlineLevel="0" collapsed="false">
      <c r="B24" s="32" t="s">
        <v>882</v>
      </c>
      <c r="C24" s="33" t="s">
        <v>169</v>
      </c>
      <c r="D24" s="51" t="n">
        <v>5.07</v>
      </c>
      <c r="E24" s="51" t="n">
        <v>5.07</v>
      </c>
      <c r="F24" s="34" t="s">
        <v>167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2" t="s">
        <v>900</v>
      </c>
      <c r="C25" s="33" t="s">
        <v>171</v>
      </c>
      <c r="D25" s="51" t="n">
        <v>0.39</v>
      </c>
      <c r="E25" s="51" t="n">
        <v>0.39</v>
      </c>
      <c r="F25" s="34" t="s">
        <v>167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2" t="s">
        <v>901</v>
      </c>
      <c r="C26" s="33" t="s">
        <v>173</v>
      </c>
      <c r="D26" s="51" t="n">
        <v>0.08</v>
      </c>
      <c r="E26" s="51" t="n">
        <v>0.08</v>
      </c>
      <c r="F26" s="34" t="s">
        <v>167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2" t="s">
        <v>902</v>
      </c>
      <c r="C27" s="33" t="s">
        <v>175</v>
      </c>
      <c r="D27" s="51" t="n">
        <v>3.9</v>
      </c>
      <c r="E27" s="51" t="n">
        <v>3.9</v>
      </c>
      <c r="F27" s="34" t="s">
        <v>167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2" t="s">
        <v>903</v>
      </c>
      <c r="C28" s="33" t="s">
        <v>177</v>
      </c>
      <c r="D28" s="51" t="n">
        <v>0.975</v>
      </c>
      <c r="E28" s="51" t="n">
        <v>0.975</v>
      </c>
      <c r="F28" s="34" t="s">
        <v>167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2" t="s">
        <v>904</v>
      </c>
      <c r="C29" s="33" t="s">
        <v>166</v>
      </c>
      <c r="D29" s="51" t="n">
        <v>0.1</v>
      </c>
      <c r="E29" s="51" t="n">
        <v>0.1</v>
      </c>
      <c r="F29" s="34" t="s">
        <v>167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40" t="s">
        <v>883</v>
      </c>
      <c r="C30" s="40"/>
      <c r="D30" s="40"/>
      <c r="E30" s="40"/>
      <c r="F30" s="40"/>
      <c r="G30" s="40"/>
      <c r="H30" s="10" t="n">
        <f aca="false">SUM(H24:H29)</f>
        <v>4091325</v>
      </c>
    </row>
    <row r="31" customFormat="false" ht="21.75" hidden="false" customHeight="true" outlineLevel="0" collapsed="false">
      <c r="B31" s="15" t="s">
        <v>905</v>
      </c>
      <c r="C31" s="15"/>
      <c r="D31" s="15"/>
      <c r="E31" s="15"/>
      <c r="F31" s="15"/>
      <c r="G31" s="15"/>
      <c r="H31" s="15"/>
    </row>
    <row r="32" customFormat="false" ht="27.75" hidden="false" customHeight="true" outlineLevel="0" collapsed="false">
      <c r="B32" s="6" t="s">
        <v>16</v>
      </c>
      <c r="C32" s="6" t="s">
        <v>867</v>
      </c>
      <c r="D32" s="6" t="s">
        <v>868</v>
      </c>
      <c r="E32" s="6" t="s">
        <v>869</v>
      </c>
      <c r="F32" s="6" t="s">
        <v>142</v>
      </c>
      <c r="G32" s="6" t="s">
        <v>143</v>
      </c>
      <c r="H32" s="6" t="s">
        <v>870</v>
      </c>
    </row>
    <row r="33" customFormat="false" ht="21.75" hidden="false" customHeight="true" outlineLevel="0" collapsed="false">
      <c r="B33" s="48" t="s">
        <v>906</v>
      </c>
      <c r="C33" s="49" t="s">
        <v>907</v>
      </c>
      <c r="D33" s="50"/>
      <c r="E33" s="50"/>
      <c r="F33" s="50"/>
      <c r="G33" s="50"/>
      <c r="H33" s="50"/>
    </row>
    <row r="34" customFormat="false" ht="36" hidden="false" customHeight="true" outlineLevel="0" collapsed="false">
      <c r="B34" s="32" t="s">
        <v>908</v>
      </c>
      <c r="C34" s="33" t="s">
        <v>180</v>
      </c>
      <c r="D34" s="51" t="n">
        <v>1</v>
      </c>
      <c r="E34" s="51" t="n">
        <v>1</v>
      </c>
      <c r="F34" s="34" t="s">
        <v>181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40" t="s">
        <v>909</v>
      </c>
      <c r="C35" s="40"/>
      <c r="D35" s="40"/>
      <c r="E35" s="40"/>
      <c r="F35" s="40"/>
      <c r="G35" s="40"/>
      <c r="H35" s="10" t="n">
        <f aca="false">SUM(H34)</f>
        <v>4500000</v>
      </c>
    </row>
    <row r="36" customFormat="false" ht="21.75" hidden="false" customHeight="true" outlineLevel="0" collapsed="false">
      <c r="B36" s="15" t="s">
        <v>910</v>
      </c>
      <c r="C36" s="15"/>
      <c r="D36" s="15"/>
      <c r="E36" s="15"/>
      <c r="F36" s="15"/>
      <c r="G36" s="15"/>
      <c r="H36" s="15"/>
    </row>
    <row r="37" customFormat="false" ht="27.75" hidden="false" customHeight="true" outlineLevel="0" collapsed="false">
      <c r="B37" s="6" t="s">
        <v>16</v>
      </c>
      <c r="C37" s="6" t="s">
        <v>867</v>
      </c>
      <c r="D37" s="6" t="s">
        <v>868</v>
      </c>
      <c r="E37" s="6" t="s">
        <v>869</v>
      </c>
      <c r="F37" s="6" t="s">
        <v>142</v>
      </c>
      <c r="G37" s="6" t="s">
        <v>143</v>
      </c>
      <c r="H37" s="6" t="s">
        <v>870</v>
      </c>
    </row>
    <row r="38" customFormat="false" ht="21.75" hidden="false" customHeight="true" outlineLevel="0" collapsed="false">
      <c r="B38" s="48" t="s">
        <v>911</v>
      </c>
      <c r="C38" s="49" t="s">
        <v>912</v>
      </c>
      <c r="D38" s="50"/>
      <c r="E38" s="50"/>
      <c r="F38" s="50"/>
      <c r="G38" s="50"/>
      <c r="H38" s="50"/>
    </row>
    <row r="39" customFormat="false" ht="36" hidden="false" customHeight="true" outlineLevel="0" collapsed="false">
      <c r="B39" s="32" t="s">
        <v>913</v>
      </c>
      <c r="C39" s="33" t="s">
        <v>184</v>
      </c>
      <c r="D39" s="51" t="n">
        <v>1</v>
      </c>
      <c r="E39" s="51" t="n">
        <v>1</v>
      </c>
      <c r="F39" s="34" t="s">
        <v>185</v>
      </c>
      <c r="G39" s="7" t="n">
        <f aca="false">'Master of Price'!$G$28</f>
        <v>19000000</v>
      </c>
      <c r="H39" s="7" t="n">
        <f aca="false">E39*G39</f>
        <v>19000000</v>
      </c>
    </row>
    <row r="40" customFormat="false" ht="27.75" hidden="false" customHeight="true" outlineLevel="0" collapsed="false">
      <c r="B40" s="32" t="s">
        <v>914</v>
      </c>
      <c r="C40" s="33" t="s">
        <v>187</v>
      </c>
      <c r="D40" s="51" t="n">
        <v>1</v>
      </c>
      <c r="E40" s="51" t="n">
        <v>1</v>
      </c>
      <c r="F40" s="34" t="s">
        <v>188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2" t="s">
        <v>915</v>
      </c>
      <c r="C41" s="33" t="s">
        <v>190</v>
      </c>
      <c r="D41" s="51" t="n">
        <v>5</v>
      </c>
      <c r="E41" s="51" t="n">
        <v>5</v>
      </c>
      <c r="F41" s="34" t="s">
        <v>185</v>
      </c>
      <c r="G41" s="7" t="n">
        <f aca="false">'Master of Price'!$G$30</f>
        <v>3398000</v>
      </c>
      <c r="H41" s="7" t="n">
        <f aca="false">E41*G41</f>
        <v>16990000</v>
      </c>
    </row>
    <row r="42" customFormat="false" ht="36" hidden="false" customHeight="true" outlineLevel="0" collapsed="false">
      <c r="B42" s="32" t="s">
        <v>916</v>
      </c>
      <c r="C42" s="33" t="s">
        <v>192</v>
      </c>
      <c r="D42" s="51" t="n">
        <v>1</v>
      </c>
      <c r="E42" s="51" t="n">
        <v>1</v>
      </c>
      <c r="F42" s="34" t="s">
        <v>188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40" t="s">
        <v>917</v>
      </c>
      <c r="C43" s="40"/>
      <c r="D43" s="40"/>
      <c r="E43" s="40"/>
      <c r="F43" s="40"/>
      <c r="G43" s="40"/>
      <c r="H43" s="10" t="n">
        <f aca="false">SUM(H39:H42)</f>
        <v>39990000</v>
      </c>
    </row>
    <row r="44" customFormat="false" ht="21.75" hidden="false" customHeight="true" outlineLevel="0" collapsed="false">
      <c r="B44" s="9" t="s">
        <v>890</v>
      </c>
      <c r="C44" s="9"/>
      <c r="D44" s="9"/>
      <c r="E44" s="9"/>
      <c r="F44" s="9"/>
      <c r="G44" s="9"/>
      <c r="H44" s="52" t="n">
        <f aca="false">H47-(H20+H30+H35+H43)</f>
        <v>-2774663</v>
      </c>
    </row>
    <row r="45" customFormat="false" ht="27.75" hidden="false" customHeight="true" outlineLevel="0" collapsed="false">
      <c r="B45" s="53" t="s">
        <v>891</v>
      </c>
      <c r="C45" s="53"/>
      <c r="D45" s="53"/>
      <c r="E45" s="53"/>
      <c r="F45" s="53"/>
      <c r="G45" s="53"/>
      <c r="H45" s="7" t="n">
        <f aca="false">H20+H30+H35+H43+H44</f>
        <v>75939562</v>
      </c>
    </row>
    <row r="46" customFormat="false" ht="15" hidden="false" customHeight="true" outlineLevel="0" collapsed="false">
      <c r="B46" s="37"/>
      <c r="C46" s="37"/>
      <c r="D46" s="37"/>
      <c r="E46" s="37"/>
      <c r="F46" s="37"/>
      <c r="G46" s="37"/>
      <c r="H46" s="37"/>
    </row>
    <row r="47" customFormat="false" ht="21.75" hidden="false" customHeight="true" outlineLevel="0" collapsed="false">
      <c r="B47" s="54" t="s">
        <v>892</v>
      </c>
      <c r="C47" s="54"/>
      <c r="D47" s="54"/>
      <c r="E47" s="54"/>
      <c r="F47" s="54"/>
      <c r="G47" s="54"/>
      <c r="H47" s="55" t="n">
        <f aca="false">RINGKASAN!$L$26</f>
        <v>75939562</v>
      </c>
    </row>
    <row r="48" customFormat="false" ht="21.75" hidden="false" customHeight="true" outlineLevel="0" collapsed="false">
      <c r="B48" s="56" t="s">
        <v>893</v>
      </c>
      <c r="C48" s="56"/>
      <c r="D48" s="56"/>
      <c r="E48" s="56"/>
      <c r="F48" s="56"/>
      <c r="G48" s="56"/>
      <c r="H48" s="1" t="n">
        <f aca="false">H45-H47</f>
        <v>0</v>
      </c>
    </row>
    <row r="49" customFormat="false" ht="21.75" hidden="false" customHeight="true" outlineLevel="0" collapsed="false">
      <c r="B49" s="56" t="s">
        <v>894</v>
      </c>
      <c r="C49" s="56"/>
      <c r="D49" s="56"/>
      <c r="E49" s="56"/>
      <c r="F49" s="56"/>
      <c r="G49" s="56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37"/>
      <c r="C50" s="37"/>
      <c r="D50" s="37"/>
      <c r="E50" s="37"/>
      <c r="F50" s="37"/>
      <c r="G50" s="37"/>
      <c r="H50" s="37"/>
    </row>
    <row r="51" customFormat="false" ht="15" hidden="false" customHeight="true" outlineLevel="0" collapsed="false">
      <c r="B51" s="37"/>
      <c r="C51" s="37"/>
      <c r="D51" s="37"/>
      <c r="E51" s="37"/>
      <c r="F51" s="37"/>
      <c r="G51" s="37"/>
      <c r="H51" s="37"/>
    </row>
    <row r="52" customFormat="false" ht="15" hidden="false" customHeight="true" outlineLevel="0" collapsed="false">
      <c r="B52" s="37"/>
      <c r="C52" s="37"/>
      <c r="D52" s="37"/>
      <c r="E52" s="37"/>
      <c r="F52" s="37"/>
      <c r="G52" s="37"/>
      <c r="H52" s="37"/>
    </row>
    <row r="53" customFormat="false" ht="15" hidden="false" customHeight="true" outlineLevel="0" collapsed="false">
      <c r="B53" s="37"/>
      <c r="C53" s="37"/>
      <c r="D53" s="37"/>
      <c r="E53" s="37"/>
      <c r="F53" s="37"/>
      <c r="G53" s="37"/>
      <c r="H53" s="37"/>
    </row>
    <row r="54" customFormat="false" ht="15" hidden="false" customHeight="true" outlineLevel="0" collapsed="false">
      <c r="B54" s="37"/>
      <c r="C54" s="37"/>
      <c r="D54" s="37"/>
      <c r="E54" s="37"/>
      <c r="F54" s="37"/>
      <c r="G54" s="37"/>
      <c r="H54" s="37"/>
    </row>
    <row r="55" customFormat="false" ht="15" hidden="false" customHeight="true" outlineLevel="0" collapsed="false">
      <c r="B55" s="37"/>
      <c r="C55" s="37"/>
      <c r="D55" s="37"/>
      <c r="E55" s="37"/>
      <c r="F55" s="37"/>
      <c r="G55" s="37"/>
      <c r="H55" s="37"/>
    </row>
    <row r="56" customFormat="false" ht="15" hidden="false" customHeight="true" outlineLevel="0" collapsed="false">
      <c r="B56" s="37"/>
      <c r="C56" s="37"/>
      <c r="D56" s="37"/>
      <c r="E56" s="37"/>
      <c r="F56" s="37"/>
      <c r="G56" s="37"/>
      <c r="H56" s="37"/>
    </row>
    <row r="57" customFormat="false" ht="15" hidden="false" customHeight="true" outlineLevel="0" collapsed="false">
      <c r="B57" s="37"/>
      <c r="C57" s="37"/>
      <c r="D57" s="37"/>
      <c r="E57" s="37"/>
      <c r="F57" s="37"/>
      <c r="G57" s="37"/>
      <c r="H57" s="37"/>
    </row>
    <row r="58" customFormat="false" ht="15" hidden="false" customHeight="true" outlineLevel="0" collapsed="false">
      <c r="B58" s="37"/>
      <c r="C58" s="37"/>
      <c r="D58" s="37"/>
      <c r="E58" s="37"/>
      <c r="F58" s="37"/>
      <c r="G58" s="37"/>
      <c r="H58" s="37"/>
    </row>
    <row r="59" customFormat="false" ht="15" hidden="false" customHeight="true" outlineLevel="0" collapsed="false">
      <c r="B59" s="37"/>
      <c r="C59" s="37"/>
      <c r="D59" s="37"/>
      <c r="E59" s="37"/>
      <c r="F59" s="37"/>
      <c r="G59" s="37"/>
      <c r="H59" s="37"/>
    </row>
    <row r="60" customFormat="false" ht="15" hidden="false" customHeight="true" outlineLevel="0" collapsed="false">
      <c r="B60" s="37"/>
      <c r="C60" s="37"/>
      <c r="D60" s="37"/>
      <c r="E60" s="37"/>
      <c r="F60" s="37"/>
      <c r="G60" s="37"/>
      <c r="H60" s="37"/>
    </row>
    <row r="61" customFormat="false" ht="15" hidden="false" customHeight="true" outlineLevel="0" collapsed="false">
      <c r="B61" s="37"/>
      <c r="C61" s="37"/>
      <c r="D61" s="37"/>
      <c r="E61" s="37"/>
      <c r="F61" s="37"/>
      <c r="G61" s="37"/>
      <c r="H61" s="37"/>
    </row>
    <row r="62" customFormat="false" ht="15" hidden="false" customHeight="true" outlineLevel="0" collapsed="false">
      <c r="B62" s="37"/>
      <c r="C62" s="37"/>
      <c r="D62" s="37"/>
      <c r="E62" s="37"/>
      <c r="F62" s="37"/>
      <c r="G62" s="37"/>
      <c r="H62" s="37"/>
    </row>
    <row r="63" customFormat="false" ht="15" hidden="false" customHeight="true" outlineLevel="0" collapsed="false">
      <c r="B63" s="37"/>
      <c r="C63" s="37"/>
      <c r="D63" s="37"/>
      <c r="E63" s="37"/>
      <c r="F63" s="37"/>
      <c r="G63" s="37"/>
      <c r="H63" s="37"/>
    </row>
    <row r="64" customFormat="false" ht="15" hidden="false" customHeight="true" outlineLevel="0" collapsed="false">
      <c r="B64" s="37"/>
      <c r="C64" s="37"/>
      <c r="D64" s="37"/>
      <c r="E64" s="37"/>
      <c r="F64" s="37"/>
      <c r="G64" s="37"/>
      <c r="H64" s="37"/>
    </row>
    <row r="65" customFormat="false" ht="15" hidden="false" customHeight="true" outlineLevel="0" collapsed="false">
      <c r="B65" s="37"/>
      <c r="C65" s="37"/>
      <c r="D65" s="37"/>
      <c r="E65" s="37"/>
      <c r="F65" s="37"/>
      <c r="G65" s="37"/>
      <c r="H65" s="37"/>
    </row>
    <row r="66" customFormat="false" ht="15" hidden="false" customHeight="true" outlineLevel="0" collapsed="false">
      <c r="B66" s="37"/>
      <c r="C66" s="37"/>
      <c r="D66" s="37"/>
      <c r="E66" s="37"/>
      <c r="F66" s="37"/>
      <c r="G66" s="37"/>
      <c r="H66" s="37"/>
    </row>
    <row r="67" customFormat="false" ht="15" hidden="false" customHeight="true" outlineLevel="0" collapsed="false">
      <c r="B67" s="37"/>
      <c r="C67" s="37"/>
      <c r="D67" s="37"/>
      <c r="E67" s="37"/>
      <c r="F67" s="37"/>
      <c r="G67" s="37"/>
      <c r="H67" s="37"/>
    </row>
    <row r="68" customFormat="false" ht="15" hidden="false" customHeight="true" outlineLevel="0" collapsed="false">
      <c r="B68" s="37"/>
      <c r="C68" s="37"/>
      <c r="D68" s="37"/>
      <c r="E68" s="37"/>
      <c r="F68" s="37"/>
      <c r="G68" s="37"/>
      <c r="H68" s="37"/>
    </row>
    <row r="69" customFormat="false" ht="15" hidden="false" customHeight="true" outlineLevel="0" collapsed="false">
      <c r="B69" s="37"/>
      <c r="C69" s="37"/>
      <c r="D69" s="37"/>
      <c r="E69" s="37"/>
      <c r="F69" s="37"/>
      <c r="G69" s="37"/>
      <c r="H69" s="37"/>
    </row>
    <row r="70" customFormat="false" ht="15" hidden="false" customHeight="true" outlineLevel="0" collapsed="false">
      <c r="B70" s="37"/>
      <c r="C70" s="37"/>
      <c r="D70" s="37"/>
      <c r="E70" s="37"/>
      <c r="F70" s="37"/>
      <c r="G70" s="37"/>
      <c r="H70" s="37"/>
    </row>
    <row r="71" customFormat="false" ht="15" hidden="false" customHeight="true" outlineLevel="0" collapsed="false">
      <c r="B71" s="37"/>
      <c r="C71" s="37"/>
      <c r="D71" s="37"/>
      <c r="E71" s="37"/>
      <c r="F71" s="37"/>
      <c r="G71" s="37"/>
      <c r="H71" s="37"/>
    </row>
    <row r="72" customFormat="false" ht="15" hidden="false" customHeight="true" outlineLevel="0" collapsed="false">
      <c r="B72" s="37"/>
      <c r="C72" s="37"/>
      <c r="D72" s="37"/>
      <c r="E72" s="37"/>
      <c r="F72" s="37"/>
      <c r="G72" s="37"/>
      <c r="H72" s="37"/>
    </row>
    <row r="73" customFormat="false" ht="15" hidden="false" customHeight="true" outlineLevel="0" collapsed="false">
      <c r="B73" s="37"/>
      <c r="C73" s="37"/>
      <c r="D73" s="37"/>
      <c r="E73" s="37"/>
      <c r="F73" s="37"/>
      <c r="G73" s="37"/>
      <c r="H73" s="37"/>
    </row>
    <row r="74" customFormat="false" ht="15" hidden="false" customHeight="true" outlineLevel="0" collapsed="false">
      <c r="B74" s="37"/>
      <c r="C74" s="37"/>
      <c r="D74" s="37"/>
      <c r="E74" s="37"/>
      <c r="F74" s="37"/>
      <c r="G74" s="37"/>
      <c r="H74" s="37"/>
    </row>
    <row r="75" customFormat="false" ht="15" hidden="false" customHeight="true" outlineLevel="0" collapsed="false">
      <c r="B75" s="37"/>
      <c r="C75" s="37"/>
      <c r="D75" s="37"/>
      <c r="E75" s="37"/>
      <c r="F75" s="37"/>
      <c r="G75" s="37"/>
      <c r="H75" s="37"/>
    </row>
    <row r="76" customFormat="false" ht="15" hidden="false" customHeight="true" outlineLevel="0" collapsed="false">
      <c r="B76" s="37"/>
      <c r="C76" s="37"/>
      <c r="D76" s="37"/>
      <c r="E76" s="37"/>
      <c r="F76" s="37"/>
      <c r="G76" s="37"/>
      <c r="H76" s="37"/>
    </row>
    <row r="77" customFormat="false" ht="15" hidden="false" customHeight="true" outlineLevel="0" collapsed="false">
      <c r="B77" s="37"/>
      <c r="C77" s="37"/>
      <c r="D77" s="37"/>
      <c r="E77" s="37"/>
      <c r="F77" s="37"/>
      <c r="G77" s="37"/>
      <c r="H77" s="37"/>
    </row>
    <row r="78" customFormat="false" ht="15" hidden="false" customHeight="true" outlineLevel="0" collapsed="false">
      <c r="B78" s="37"/>
      <c r="C78" s="37"/>
      <c r="D78" s="37"/>
      <c r="E78" s="37"/>
      <c r="F78" s="37"/>
      <c r="G78" s="37"/>
      <c r="H78" s="37"/>
    </row>
    <row r="79" customFormat="false" ht="15" hidden="false" customHeight="true" outlineLevel="0" collapsed="false">
      <c r="B79" s="37"/>
      <c r="C79" s="37"/>
      <c r="D79" s="37"/>
      <c r="E79" s="37"/>
      <c r="F79" s="37"/>
      <c r="G79" s="37"/>
      <c r="H79" s="37"/>
    </row>
    <row r="80" customFormat="false" ht="15" hidden="false" customHeight="true" outlineLevel="0" collapsed="false">
      <c r="B80" s="37"/>
      <c r="C80" s="37"/>
      <c r="D80" s="37"/>
      <c r="E80" s="37"/>
      <c r="F80" s="37"/>
      <c r="G80" s="37"/>
      <c r="H80" s="37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2026-09-10T12:49:47Z</dcterms:created>
  <dc:creator>Z.ai</dc:creator>
  <dc:description/>
  <dc:language>en-US</dc:language>
  <cp:lastModifiedBy/>
  <dcterms:modified xsi:type="dcterms:W3CDTF">2026-09-11T03:39:09Z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
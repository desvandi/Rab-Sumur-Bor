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NGKASAN" sheetId="1" state="visible" r:id="rId3"/>
    <sheet name="Master of Price" sheetId="2" state="visible" r:id="rId4"/>
    <sheet name="Rincian Harga" sheetId="3" state="visible" r:id="rId5"/>
    <sheet name="Referensi Harga" sheetId="4" state="visible" r:id="rId6"/>
    <sheet name="L01_Lestari" sheetId="5" state="visible" r:id="rId7"/>
    <sheet name="L02_TriMakmur" sheetId="6" state="visible" r:id="rId8"/>
    <sheet name="L03_Sepakat" sheetId="7" state="visible" r:id="rId9"/>
    <sheet name="L04_HarapanMakmur" sheetId="8" state="visible" r:id="rId10"/>
    <sheet name="L05a_DianBelato" sheetId="9" state="visible" r:id="rId11"/>
    <sheet name="L05b_DianBelato" sheetId="10" state="visible" r:id="rId12"/>
    <sheet name="L06_PayoLebar" sheetId="11" state="visible" r:id="rId13"/>
    <sheet name="L07_PudingMas" sheetId="12" state="visible" r:id="rId14"/>
    <sheet name="L08a_TanjungAur" sheetId="13" state="visible" r:id="rId15"/>
    <sheet name="L08b_TanjungAur" sheetId="14" state="visible" r:id="rId16"/>
    <sheet name="L08c_TanjungAur" sheetId="15" state="visible" r:id="rId17"/>
    <sheet name="L09_BerkatMulia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<sst xmlns="http://schemas.openxmlformats.org/spreadsheetml/2006/main" count="2362" uniqueCount="870">
  <si>
    <t xml:space="preserve">RINGKASAN RAB - 12 PEKERJAAN DI 9 LOKASI</t>
  </si>
  <si>
    <t xml:space="preserve">Pekerjaan Utama</t>
  </si>
  <si>
    <t xml:space="preserve">Pembuatan Sumur Bor + Pompa (Hybrid/Diesel/Submersible) + Panel Surya (Hybrid) + Pengecoran &amp; Pembetonan</t>
  </si>
  <si>
    <t xml:space="preserve">Wilayah</t>
  </si>
  <si>
    <t xml:space="preserve">9 Lokasi di Kabupaten Tebo, Provinsi Jambi</t>
  </si>
  <si>
    <t xml:space="preserve">Sumber Harga Satuan</t>
  </si>
  <si>
    <t xml:space="preserve">HSP Kab. Tebo / DPU Jambi (estimasi 2024-2025); referensi harga pasar &amp; link: sheet 'Referensi Harga'</t>
  </si>
  <si>
    <t xml:space="preserve">Faktor Biaya</t>
  </si>
  <si>
    <t xml:space="preserve">All-in (material + upah + alat + overhead &amp; profit sudah termasuk)</t>
  </si>
  <si>
    <t xml:space="preserve">PPN</t>
  </si>
  <si>
    <t xml:space="preserve">Tidak dikenakan (0%)</t>
  </si>
  <si>
    <t xml:space="preserve">Volume Pengecoran</t>
  </si>
  <si>
    <t xml:space="preserve">Mengacu ke dokumen draft proyek Tri Makmur (denah 425x225 cm, perimeter 13 m)</t>
  </si>
  <si>
    <t xml:space="preserve">Target Anggaran</t>
  </si>
  <si>
    <t xml:space="preserve">Dibulatkan per jutaan ke bawah per pekerjaan</t>
  </si>
  <si>
    <t xml:space="preserve">REKAPITULASI 12 PEKERJAAN</t>
  </si>
  <si>
    <t xml:space="preserve">No.</t>
  </si>
  <si>
    <t xml:space="preserve">Lokasi (Poktan, Desa, Kec.)</t>
  </si>
  <si>
    <t xml:space="preserve">Tipe Pekerjaan</t>
  </si>
  <si>
    <t xml:space="preserve">Paket</t>
  </si>
  <si>
    <t xml:space="preserve">Pengeboran Sumur (Rp)</t>
  </si>
  <si>
    <t xml:space="preserve">Pengecoran &amp; Rangka Panel (Rp)</t>
  </si>
  <si>
    <t xml:space="preserve">Solar Pump (Rp)</t>
  </si>
  <si>
    <t xml:space="preserve">Diesel/PLN Pump (Rp)</t>
  </si>
  <si>
    <t xml:space="preserve">Total (Rp)</t>
  </si>
  <si>
    <t xml:space="preserve">Anggaran Maks (Rp)</t>
  </si>
  <si>
    <t xml:space="preserve">Overhead (Rp)</t>
  </si>
  <si>
    <t xml:space="preserve">Status</t>
  </si>
  <si>
    <t xml:space="preserve">11</t>
  </si>
  <si>
    <t xml:space="preserve">Poktan Lestari, Desa Teluk Singkawang, Kec. Sumay</t>
  </si>
  <si>
    <t xml:space="preserve">Diesel JD330</t>
  </si>
  <si>
    <t xml:space="preserve">22</t>
  </si>
  <si>
    <t xml:space="preserve">Poktan Tri Makmur, Desa Teluk Rendah Ilir, Kec. Tebo Ilir</t>
  </si>
  <si>
    <t xml:space="preserve">Hybrid + Solar</t>
  </si>
  <si>
    <t xml:space="preserve">33</t>
  </si>
  <si>
    <t xml:space="preserve">Poktan Sepakat, Desa Teluk Rendah Ilir, Kec. Tebo Ilir</t>
  </si>
  <si>
    <t xml:space="preserve">Submersible + PLN</t>
  </si>
  <si>
    <t xml:space="preserve">44</t>
  </si>
  <si>
    <t xml:space="preserve">Poktan Harapan Makmur, Desa Tuo Ilir, Kec. Tebo Ilir</t>
  </si>
  <si>
    <t xml:space="preserve">5a</t>
  </si>
  <si>
    <t xml:space="preserve">Poktan Dian Belato (Paket 1), Desa Teluk Rendah Pasar, Kec. Tebo Ilir</t>
  </si>
  <si>
    <t xml:space="preserve">5b</t>
  </si>
  <si>
    <t xml:space="preserve">Poktan Dian Belato (Paket 2), Desa Teluk Rendah Pasar, Kec. Tebo Ilir</t>
  </si>
  <si>
    <t xml:space="preserve">66</t>
  </si>
  <si>
    <t xml:space="preserve">Poktan Payo Lebar, Desa Kuamang, Kec. VII Koto</t>
  </si>
  <si>
    <t xml:space="preserve">77</t>
  </si>
  <si>
    <t xml:space="preserve">Poktan Puding Mas, Desa Pagar Puding Lamo, Kec. Serai Serumpun</t>
  </si>
  <si>
    <t xml:space="preserve">8a</t>
  </si>
  <si>
    <t xml:space="preserve">Poktan Tanjung Aur Indah (Paket 1), Desa Tanjung Aur Seberang, Kec. Serai Serumpun</t>
  </si>
  <si>
    <t xml:space="preserve">8b</t>
  </si>
  <si>
    <t xml:space="preserve">Poktan Tanjung Aur Indah (Paket 2), Desa Tanjung Aur Seberang, Kec. Serai Serumpun</t>
  </si>
  <si>
    <t xml:space="preserve">8c</t>
  </si>
  <si>
    <t xml:space="preserve">Poktan Tanjung Aur Indah (Paket 3), Desa Tanjung Aur Seberang, Kec. Serai Serumpun</t>
  </si>
  <si>
    <t xml:space="preserve">99</t>
  </si>
  <si>
    <t xml:space="preserve">Poktan Berkat Mulia, Desa Pagar Puding, Kec. Tebo Ulu</t>
  </si>
  <si>
    <t xml:space="preserve">GRAND TOTAL</t>
  </si>
  <si>
    <t xml:space="preserve">CATATAN:</t>
  </si>
  <si>
    <t xml:space="preserve">1. Total 12 pekerjaan di 9 lokasi: 9 lokasi tunggal + 2 paket (L5 Dian Belato) + 3 paket (L8 Tanjung Aur) = 12 pekerjaan.</t>
  </si>
  <si>
    <t xml:space="preserve">2. Lokasi 1, 6: Pompa Diesel JD330 35 HP, TIDAK pakai panel surya, TIDAK ada rumah pompa. L1 tanpa bak, L6 dengan bak penampung 2x1x1 m.</t>
  </si>
  <si>
    <t xml:space="preserve">3. Lokasi 3: Pompa Submersible 4" 5,5 HP + Instalasi PLN/Genset, TIDAK pakai panel surya, hanya cor penutup sumur 1x1x0,1 m.</t>
  </si>
  <si>
    <t xml:space="preserve">4. Lokasi 2,4,5,7,8,9: Pompa Submersible Hybrid 2 HP (1.492 W) + 5 Panel Surya 550 Wp + Rangka Galvanis/Hollow.</t>
  </si>
  <si>
    <t xml:space="preserve">5. Volume pengecoran HYBRID mengacu ke dokumen draft proyek Tri Makmur (denah 425x225 cm, perimeter 13 m).</t>
  </si>
  <si>
    <t xml:space="preserve">6. TIDAK ada rumah pompa di SEMUA pekerjaan. Diesel engine (L1, L6) &amp; rangka panel surya (HYBRID) dipasang tanpa dinding/atap.</t>
  </si>
  <si>
    <t xml:space="preserve">7. TIDAK menggunakan besi tulangan pada pengecoran dan pembetonan. Semua struktur beton plain concrete fc 10 MPa (pondasi, balok/sloof, cor penutup sumur, bak penampung).</t>
  </si>
  <si>
    <t xml:space="preserve">8. Pengecoran HYBRID: galian + pasir urug + batu kosong + pondasi batu kali menerus + balok/sloof + cor penutup sumur (TANPA kolom &amp; plat lantai karena tidak ada rumah pompa).</t>
  </si>
  <si>
    <t xml:space="preserve">9. Pengecoran DIESEL: HANYA cor penutup sumur (+ bak penampung untuk L6). TIDAK ada pondasi/balok/sloof (karena tidak pakai panel surya &amp; tidak ada rumah pompa).</t>
  </si>
  <si>
    <t xml:space="preserve">10. Pengecoran SUBMERSIBLE (L3): HANYA cor penutup sumur.</t>
  </si>
  <si>
    <t xml:space="preserve">11. Harga satuan HSP Kab. Tebo / DPU Jambi (estimasi 2024-2025), all-in (inc. material + upah + alat).</t>
  </si>
  <si>
    <t xml:space="preserve">12. TIDAK dikenakan PPN (0%) sesuai anggaran pemberi kerja.</t>
  </si>
  <si>
    <t xml:space="preserve">13. Anggaran Lokasi 5 (Dian Belato) = Rp 232.400.974 total 2 paket -&gt; Rp 116.200.487 per paket.</t>
  </si>
  <si>
    <t xml:space="preserve">14. Anggaran Lokasi 8 (Tanjung Aur) = Rp 314.375.738 total 3 paket -&gt; Rp 104.791.913 per paket.</t>
  </si>
  <si>
    <t xml:space="preserve">15. Lokasi 1 &amp; 6 tidak menyebut kedalaman sumur -&gt; asumsi 40 m (standar DAK Pertanian).</t>
  </si>
  <si>
    <t xml:space="preserve">16. Setiap sheet detail berisi: 4 kelompok pekerjaan (Pengeboran Sumur / Pengecoran Struktur Beton &amp; Rangka Panel / Solar Pump Submersible / Diesel-PLN Pump Submersible) + kontrol anggaran (Total vs Maks + Status OK/OVER BUDGET).</t>
  </si>
  <si>
    <t xml:space="preserve">17. OVERHEAD: dihitung otomatis per lokasi = 'Anggaran Maks' (kolom K sheet ini) - jumlah Sub-Total 4 kelompok pekerjaan (tanpa overhead), ditampilkan di kolom L 'Overhead (Rp)'. Berfungsi menutup selisih total standar HSP Jambi vs anggaran ASLI pemberi kerja. Jika hasil &lt; 0 (negatif) -&gt; pekerjaan OVER BUDGET; nilai negatif = besarnya kekurangan dana.</t>
  </si>
  <si>
    <t xml:space="preserve">18. Total tiap pekerjaan otomatis sama dengan Anggaran Maks (overhead sebagai penyeimbang). Status OVER berarti nilai pekerjaan riil melebihi anggaran - lihat kolom Overhead (L) yang negatif (detail komponen harga lihat sheet 'Rincian Harga').</t>
  </si>
  <si>
    <t xml:space="preserve">19. Referensi harga pasar tiap item (link marketplace, distributor, artikel, regulasi HSPK Kab. Tebo) terdokumentasi di sheet 'Referensi Harga' (riset web 10 September 2026).</t>
  </si>
  <si>
    <t xml:space="preserve">Master of Price | Daftar Harga Satuan Seluruh Item Proyek</t>
  </si>
  <si>
    <t xml:space="preserve">Fungsi</t>
  </si>
  <si>
    <t xml:space="preserve">Sumber tunggal harga satuan seluruh item proyek (single source of truth).</t>
  </si>
  <si>
    <t xml:space="preserve">Cara Pakai</t>
  </si>
  <si>
    <t xml:space="preserve">Ubah harga komponen pada sheet 'Rincian Harga' (kolom Harga) - subtotal item di sheet ini, seluruh sheet lokasi (L01-L09), dan RINGKASAN otomatis ikut berubah. Kolom Harga Satuan di sheet ini berisi formula link ke subtotal item di sheet 'Rincian Harga'.</t>
  </si>
  <si>
    <t xml:space="preserve">Sumber Harga</t>
  </si>
  <si>
    <t xml:space="preserve">HSP Kab. Tebo / DPU Jambi (estimasi 2024-2025), all-in; referensi harga pasar &amp; link: sheet 'Referensi Harga'</t>
  </si>
  <si>
    <t xml:space="preserve">Pengecualian</t>
  </si>
  <si>
    <t xml:space="preserve">Item 'Overhead (lump sum all-in)' TIDAK dihubungkan ke sheet ini - dihitung otomatis per lokasi: Overhead = Anggaran Maksimal (kolom J RINGKASAN) - Sub Total pekerjaan. Jika overhead &lt; 0 (negatif) maka status pekerjaan = OVER BUDGET (lihat catatan no. 17 di RINGKASAN).</t>
  </si>
  <si>
    <t xml:space="preserve">DAFTAR HARGA SATUAN ITEM (MASTER)</t>
  </si>
  <si>
    <t xml:space="preserve">Kode Item</t>
  </si>
  <si>
    <t xml:space="preserve">Kelompok Pekerjaan</t>
  </si>
  <si>
    <t xml:space="preserve">Uraian Item</t>
  </si>
  <si>
    <t xml:space="preserve">Satuan</t>
  </si>
  <si>
    <t xml:space="preserve">Harga Satuan (Rp)</t>
  </si>
  <si>
    <t xml:space="preserve">ITM-01</t>
  </si>
  <si>
    <t xml:space="preserve">Pekerjaan Pengeboran Sumur</t>
  </si>
  <si>
    <t xml:space="preserve">Pemboran tanah Ø 8 inch s/d kedalaman 40 m (termasuk mobilisasi alat, pengukuran, penyiapan lahan, developing &amp; pumping test)</t>
  </si>
  <si>
    <t xml:space="preserve">m'</t>
  </si>
  <si>
    <t xml:space="preserve">ITM-02</t>
  </si>
  <si>
    <t xml:space="preserve">Pipa PVC AW Ø 6 inch (Casing) lengkap dengan fitting</t>
  </si>
  <si>
    <t xml:space="preserve">ITM-03</t>
  </si>
  <si>
    <t xml:space="preserve">Pipa PVC AW Ø 2 inch (Outlet) lengkap dengan fitting</t>
  </si>
  <si>
    <t xml:space="preserve">ITM-04</t>
  </si>
  <si>
    <t xml:space="preserve">Pemasangan kerikil filter (gravel pack) di annulus</t>
  </si>
  <si>
    <t xml:space="preserve">ITM-05</t>
  </si>
  <si>
    <t xml:space="preserve">Pengecoran semen annulus (grouting) antara casing &amp; dinding bor</t>
  </si>
  <si>
    <t xml:space="preserve">ITM-06</t>
  </si>
  <si>
    <t xml:space="preserve">Pemboran tanah Ø 8 inch s/d kedalaman 25 m (termasuk mobilisasi alat, pengukuran, penyiapan lahan, developing &amp; pumping test)</t>
  </si>
  <si>
    <t xml:space="preserve">ITM-07</t>
  </si>
  <si>
    <t xml:space="preserve">Pemboran tanah Ø 8 inch s/d kedalaman 34 m (termasuk mobilisasi alat, pengukuran, penyiapan lahan, developing &amp; pumping test)</t>
  </si>
  <si>
    <t xml:space="preserve">ITM-08</t>
  </si>
  <si>
    <t xml:space="preserve">Pemboran tanah Ø 8 inch s/d kedalaman 45 m (termasuk mobilisasi alat, pengukuran, penyiapan lahan, developing &amp; pumping test)</t>
  </si>
  <si>
    <t xml:space="preserve">ITM-09</t>
  </si>
  <si>
    <t xml:space="preserve">Pemboran tanah Ø 8 inch s/d kedalaman 42 m (termasuk mobilisasi alat, pengukuran, penyiapan lahan, developing &amp; pumping test)</t>
  </si>
  <si>
    <t xml:space="preserve">ITM-10</t>
  </si>
  <si>
    <t xml:space="preserve">Pekerjaan Pengecoran Struktur Beton &amp; Rangka Panel</t>
  </si>
  <si>
    <t xml:space="preserve">Cor penutup sumur 1 × 1 m, T = 10 cm, fc' 10 MPa — termasuk finishing (TANPA besi tulangan)</t>
  </si>
  <si>
    <t xml:space="preserve">m³</t>
  </si>
  <si>
    <t xml:space="preserve">ITM-11</t>
  </si>
  <si>
    <t xml:space="preserve">Galian tanah untuk pondasi rangka panel (13 m × 0,60 m × 0,65 m)</t>
  </si>
  <si>
    <t xml:space="preserve">ITM-12</t>
  </si>
  <si>
    <t xml:space="preserve">Urugan pasir bawah pondasi, T = 5 cm</t>
  </si>
  <si>
    <t xml:space="preserve">ITM-13</t>
  </si>
  <si>
    <t xml:space="preserve">Batu kosong bawah pondasi, T = 10 cm</t>
  </si>
  <si>
    <t xml:space="preserve">ITM-14</t>
  </si>
  <si>
    <t xml:space="preserve">Pondasi batu kali menerus untuk rangka panel (13 m × 0,60 × 0,50 m) — fc 10 MPa</t>
  </si>
  <si>
    <t xml:space="preserve">ITM-15</t>
  </si>
  <si>
    <t xml:space="preserve">Balok/Sloof beton 25 × 30 cm, fc' 10 MPa (perimeter 13 m) — termasuk bekisting (TANPA besi tulangan)</t>
  </si>
  <si>
    <t xml:space="preserve">ITM-16</t>
  </si>
  <si>
    <t xml:space="preserve">Bak penampung air beton 2 × 1 × 1 m, fc' 10 MPa — termasuk waterproofing (TANPA besi tulangan)</t>
  </si>
  <si>
    <t xml:space="preserve">ITM-22</t>
  </si>
  <si>
    <t xml:space="preserve">Rangka Panel Galvanis/Hollow (Ground Mounting) — 1 set lengkap untuk 5 panel, termasuk hollow galvanis Ø 1,2 inch, pengaku baja ringan, baut, mur, ring, bracket mounting, &amp; cat anti-karat</t>
  </si>
  <si>
    <t xml:space="preserve">Set</t>
  </si>
  <si>
    <t xml:space="preserve">ITM-19</t>
  </si>
  <si>
    <t xml:space="preserve">Solar Pump Submersible</t>
  </si>
  <si>
    <t xml:space="preserve">Pompa Submersible Hybrid Tenaga Surya 2 HP (± 1.492 W) (paket lengkap: pompa + inverter built-in MPPT + battery + panel kontrol + kabel pacu 45 m + stopper &amp; bracket)</t>
  </si>
  <si>
    <t xml:space="preserve">Unit</t>
  </si>
  <si>
    <t xml:space="preserve">ITM-20</t>
  </si>
  <si>
    <t xml:space="preserve">Pemasangan &amp; instalasi pompa submersible dalam sumur bor</t>
  </si>
  <si>
    <t xml:space="preserve">Lump Sum</t>
  </si>
  <si>
    <t xml:space="preserve">ITM-21</t>
  </si>
  <si>
    <t xml:space="preserve">Panel Surya Monokristalin 550 Wp Grade A (5 unit sesuai spesifikasi RAB pemberi kerja)</t>
  </si>
  <si>
    <t xml:space="preserve">ITM-23</t>
  </si>
  <si>
    <t xml:space="preserve">Instalasi sistem &amp; commissioning (termasuk wiring PV, load test pompa, pengujian output, grounding, &amp; penyambungan akhir)</t>
  </si>
  <si>
    <t xml:space="preserve">ITM-17</t>
  </si>
  <si>
    <t xml:space="preserve">Diesel / PLN Pump Submersible</t>
  </si>
  <si>
    <t xml:space="preserve">Pompa Diesel JD 330 — 35 HP, 4 langkah 1 silinder, intake/out 3 inch (paket lengkap: mesin + bracket + aksesoris)</t>
  </si>
  <si>
    <t xml:space="preserve">ITM-18</t>
  </si>
  <si>
    <t xml:space="preserve">Instalasi sistem pompa diesel + commissioning (termasuk coupling, pipa hisap/keluar, &amp; pengujian)</t>
  </si>
  <si>
    <t xml:space="preserve">ITM-24</t>
  </si>
  <si>
    <t xml:space="preserve">Pompa Submersible 4 inch, 5,5 HP (paket lengkap: pompa + kabel pacu 45 m + stopper &amp; bracket)</t>
  </si>
  <si>
    <t xml:space="preserve">ITM-25</t>
  </si>
  <si>
    <t xml:space="preserve">Instalasi listrik PLN/Genset (kabel 2×4 mm² 50 m, MCB, panel kontrol, grounding) untuk penggerak pompa</t>
  </si>
  <si>
    <t xml:space="preserve">ITM-26</t>
  </si>
  <si>
    <t xml:space="preserve">Pemasangan &amp; instalasi pompa submersible dalam sumur bor + commissioning</t>
  </si>
  <si>
    <t xml:space="preserve">Rincian Harga | Analisa Komponen Harga Satuan per Item Pekerjaan</t>
  </si>
  <si>
    <t xml:space="preserve">Rincian komponen pembentuk harga satuan untuk seluruh 26 item di sheet Master of Price (ITM-01 s/d ITM-26).</t>
  </si>
  <si>
    <t xml:space="preserve">Ubah harga komponen pada kolom Harga (Rp) - subtotal per item, harga satuan di Master of Price, seluruh sheet lokasi (L01-L09), dan RINGKASAN otomatis ikut berubah.</t>
  </si>
  <si>
    <t xml:space="preserve">Struktur Harga</t>
  </si>
  <si>
    <t xml:space="preserve">Harga satuan item = penjumlahan seluruh komponennya (material + upah + alat + OVW &amp; profit). Subtotal tiap item (baris 'JUMLAH HARGA SATUAN') di-link ke kolom Harga Satuan sheet 'Master of Price'.</t>
  </si>
  <si>
    <t xml:space="preserve">Overhead</t>
  </si>
  <si>
    <t xml:space="preserve">Item 'Overhead (lump sum all-in)' TIDAK di-rinci di sheet ini - dihitung otomatis per lokasi: Overhead = Anggaran Maksimal (RINGKASAN kolom J) - Sub Total pekerjaan; jika negatif maka status pekerjaan = OVER BUDGET.</t>
  </si>
  <si>
    <t xml:space="preserve">DAFTAR RINCIAN HARGA SATUAN PER ITEM (26 ITEM: ITM-01 s/d ITM-26)</t>
  </si>
  <si>
    <t xml:space="preserve">Kode Komponen</t>
  </si>
  <si>
    <t xml:space="preserve">Uraian Komponen &amp; Spesifikasi</t>
  </si>
  <si>
    <t xml:space="preserve">Keterangan / Basis Harga</t>
  </si>
  <si>
    <t xml:space="preserve">Harga (Rp)</t>
  </si>
  <si>
    <t xml:space="preserve">Kelompok 1: PEKERJAAN PENGEORAN SUMUR (ITM-01 s/d ITM-09)</t>
  </si>
  <si>
    <t xml:space="preserve">Satuan: m'</t>
  </si>
  <si>
    <t xml:space="preserve">ITM-01.1</t>
  </si>
  <si>
    <t xml:space="preserve">Sewa unit alat bor (rig rotary/DTHC lengkap, termasuk crew 3-4 orang &amp; mandor)</t>
  </si>
  <si>
    <t xml:space="preserve">Tarif sewa rig + crew, estimasi pasar Jambi 2024-2025</t>
  </si>
  <si>
    <t xml:space="preserve">ITM-01.2</t>
  </si>
  <si>
    <t xml:space="preserve">BBM &amp; pelumas alat bor (solar, oli, grease)</t>
  </si>
  <si>
    <t xml:space="preserve">± 3-4 liter solar per m' + pelumas</t>
  </si>
  <si>
    <t xml:space="preserve">ITM-01.3</t>
  </si>
  <si>
    <t xml:space="preserve">Material lumpur bor (bentonit/polymer + air)</t>
  </si>
  <si>
    <t xml:space="preserve">Sirkulasi lumpur, termasuk susut</t>
  </si>
  <si>
    <t xml:space="preserve">ITM-01.4</t>
  </si>
  <si>
    <t xml:space="preserve">Upah pengeboran (tenaga pelaksana &amp; pengangkatan casing)</t>
  </si>
  <si>
    <t xml:space="preserve">Alokasi upah per m'</t>
  </si>
  <si>
    <t xml:space="preserve">ITM-01.5</t>
  </si>
  <si>
    <t xml:space="preserve">Mobilisasi &amp; demobilisasi alat bor</t>
  </si>
  <si>
    <t xml:space="preserve">Amortisasi per m' (jarak lokasi Kab. Tebo)</t>
  </si>
  <si>
    <t xml:space="preserve">ITM-01.6</t>
  </si>
  <si>
    <t xml:space="preserve">Developing &amp; pumping test</t>
  </si>
  <si>
    <t xml:space="preserve">Amortisasi per m' kedalaman</t>
  </si>
  <si>
    <t xml:space="preserve">ITM-01.7</t>
  </si>
  <si>
    <t xml:space="preserve">Overhead &amp; profit kontraktor pembor</t>
  </si>
  <si>
    <t xml:space="preserve">± 3,4% dari harga satuan</t>
  </si>
  <si>
    <t xml:space="preserve">JUMLAH HARGA SATUAN — ITM-01 (per m')</t>
  </si>
  <si>
    <t xml:space="preserve">Link ke 'Master of Price'!G12</t>
  </si>
  <si>
    <t xml:space="preserve">ITM-02.1</t>
  </si>
  <si>
    <t xml:space="preserve">Material pipa PVC AW Ø 6 inch (casing)</t>
  </si>
  <si>
    <t xml:space="preserve">Harga pasar ± Rp 82.000/m' (beli batang 4 m)</t>
  </si>
  <si>
    <t xml:space="preserve">ITM-02.2</t>
  </si>
  <si>
    <t xml:space="preserve">Fitting &amp; sambungan (socket, lem PVC, rubber seal)</t>
  </si>
  <si>
    <t xml:space="preserve">Alokasi fitting per m' pipa</t>
  </si>
  <si>
    <t xml:space="preserve">ITM-02.3</t>
  </si>
  <si>
    <t xml:space="preserve">Upah pemasangan &amp; penyambungan casing</t>
  </si>
  <si>
    <t xml:space="preserve">Upah lokal Tebo</t>
  </si>
  <si>
    <t xml:space="preserve">ITM-02.4</t>
  </si>
  <si>
    <t xml:space="preserve">Transport &amp; handling material ke lokasi</t>
  </si>
  <si>
    <t xml:space="preserve">Alokasi per m'</t>
  </si>
  <si>
    <t xml:space="preserve">ITM-02.5</t>
  </si>
  <si>
    <t xml:space="preserve">Overhead &amp; profit</t>
  </si>
  <si>
    <t xml:space="preserve">± 2% dari harga satuan</t>
  </si>
  <si>
    <t xml:space="preserve">JUMLAH HARGA SATUAN — ITM-02 (per m')</t>
  </si>
  <si>
    <t xml:space="preserve">Link ke 'Master of Price'!G13</t>
  </si>
  <si>
    <t xml:space="preserve">ITM-03.1</t>
  </si>
  <si>
    <t xml:space="preserve">Material pipa PVC AW Ø 2 inch (outlet)</t>
  </si>
  <si>
    <t xml:space="preserve">Harga pasar ± Rp 20.000/m'</t>
  </si>
  <si>
    <t xml:space="preserve">ITM-03.2</t>
  </si>
  <si>
    <t xml:space="preserve">Fitting &amp; lem PVC (elbow, socket, nipple)</t>
  </si>
  <si>
    <t xml:space="preserve">ITM-03.3</t>
  </si>
  <si>
    <t xml:space="preserve">Upah pemasangan pipa outlet</t>
  </si>
  <si>
    <t xml:space="preserve">ITM-03.4</t>
  </si>
  <si>
    <t xml:space="preserve">Transport &amp; handling</t>
  </si>
  <si>
    <t xml:space="preserve">ITM-03.5</t>
  </si>
  <si>
    <t xml:space="preserve">± 3,6% dari harga satuan</t>
  </si>
  <si>
    <t xml:space="preserve">JUMLAH HARGA SATUAN — ITM-03 (per m')</t>
  </si>
  <si>
    <t xml:space="preserve">Link ke 'Master of Price'!G14</t>
  </si>
  <si>
    <t xml:space="preserve">ITM-04.1</t>
  </si>
  <si>
    <t xml:space="preserve">Material kerikil filter (graded gravel/silika) di annulus</t>
  </si>
  <si>
    <t xml:space="preserve">Harga material termasuk susut</t>
  </si>
  <si>
    <t xml:space="preserve">ITM-04.2</t>
  </si>
  <si>
    <t xml:space="preserve">Pencucian &amp; grading kerikil filter</t>
  </si>
  <si>
    <t xml:space="preserve">Pengolahan material filter</t>
  </si>
  <si>
    <t xml:space="preserve">ITM-04.3</t>
  </si>
  <si>
    <t xml:space="preserve">Upah penuangan gravel pack ke annulus</t>
  </si>
  <si>
    <t xml:space="preserve">ITM-04.4</t>
  </si>
  <si>
    <t xml:space="preserve">Transport material</t>
  </si>
  <si>
    <t xml:space="preserve">ITM-04.5</t>
  </si>
  <si>
    <t xml:space="preserve">± 6,7% dari harga satuan</t>
  </si>
  <si>
    <t xml:space="preserve">JUMLAH HARGA SATUAN — ITM-04 (per m')</t>
  </si>
  <si>
    <t xml:space="preserve">Link ke 'Master of Price'!G15</t>
  </si>
  <si>
    <t xml:space="preserve">ITM-05.1</t>
  </si>
  <si>
    <t xml:space="preserve">Semen grouting annulus</t>
  </si>
  <si>
    <t xml:space="preserve">Termasuk susut/kehilangan ke formasi</t>
  </si>
  <si>
    <t xml:space="preserve">ITM-05.2</t>
  </si>
  <si>
    <t xml:space="preserve">Air &amp; admixture (bentonite/plasticizer)</t>
  </si>
  <si>
    <t xml:space="preserve">Bahan campuran grout</t>
  </si>
  <si>
    <t xml:space="preserve">ITM-05.3</t>
  </si>
  <si>
    <t xml:space="preserve">Upah pencampuran &amp; pengecoran annulus</t>
  </si>
  <si>
    <t xml:space="preserve">ITM-05.4</t>
  </si>
  <si>
    <t xml:space="preserve">Alat bantu (mixer &amp; pompa grout)</t>
  </si>
  <si>
    <t xml:space="preserve">Amortisasi per m'</t>
  </si>
  <si>
    <t xml:space="preserve">ITM-05.5</t>
  </si>
  <si>
    <t xml:space="preserve">± 13,3% dari harga satuan</t>
  </si>
  <si>
    <t xml:space="preserve">JUMLAH HARGA SATUAN — ITM-05 (per m')</t>
  </si>
  <si>
    <t xml:space="preserve">Link ke 'Master of Price'!G16</t>
  </si>
  <si>
    <t xml:space="preserve">Satuan: m' — tarif sama dgn ITM-01</t>
  </si>
  <si>
    <t xml:space="preserve">ITM-06.1</t>
  </si>
  <si>
    <t xml:space="preserve">ITM-06.2</t>
  </si>
  <si>
    <t xml:space="preserve">ITM-06.3</t>
  </si>
  <si>
    <t xml:space="preserve">ITM-06.4</t>
  </si>
  <si>
    <t xml:space="preserve">ITM-06.5</t>
  </si>
  <si>
    <t xml:space="preserve">ITM-06.6</t>
  </si>
  <si>
    <t xml:space="preserve">ITM-06.7</t>
  </si>
  <si>
    <t xml:space="preserve">JUMLAH HARGA SATUAN — ITM-06 (per m')</t>
  </si>
  <si>
    <t xml:space="preserve">Link ke 'Master of Price'!G17</t>
  </si>
  <si>
    <t xml:space="preserve">ITM-07.1</t>
  </si>
  <si>
    <t xml:space="preserve">ITM-07.2</t>
  </si>
  <si>
    <t xml:space="preserve">ITM-07.3</t>
  </si>
  <si>
    <t xml:space="preserve">ITM-07.4</t>
  </si>
  <si>
    <t xml:space="preserve">ITM-07.5</t>
  </si>
  <si>
    <t xml:space="preserve">ITM-07.6</t>
  </si>
  <si>
    <t xml:space="preserve">ITM-07.7</t>
  </si>
  <si>
    <t xml:space="preserve">JUMLAH HARGA SATUAN — ITM-07 (per m')</t>
  </si>
  <si>
    <t xml:space="preserve">Link ke 'Master of Price'!G18</t>
  </si>
  <si>
    <t xml:space="preserve">ITM-08.1</t>
  </si>
  <si>
    <t xml:space="preserve">ITM-08.2</t>
  </si>
  <si>
    <t xml:space="preserve">ITM-08.3</t>
  </si>
  <si>
    <t xml:space="preserve">ITM-08.4</t>
  </si>
  <si>
    <t xml:space="preserve">ITM-08.5</t>
  </si>
  <si>
    <t xml:space="preserve">ITM-08.6</t>
  </si>
  <si>
    <t xml:space="preserve">ITM-08.7</t>
  </si>
  <si>
    <t xml:space="preserve">JUMLAH HARGA SATUAN — ITM-08 (per m')</t>
  </si>
  <si>
    <t xml:space="preserve">Link ke 'Master of Price'!G19</t>
  </si>
  <si>
    <t xml:space="preserve">ITM-09.1</t>
  </si>
  <si>
    <t xml:space="preserve">ITM-09.2</t>
  </si>
  <si>
    <t xml:space="preserve">ITM-09.3</t>
  </si>
  <si>
    <t xml:space="preserve">ITM-09.4</t>
  </si>
  <si>
    <t xml:space="preserve">ITM-09.5</t>
  </si>
  <si>
    <t xml:space="preserve">ITM-09.6</t>
  </si>
  <si>
    <t xml:space="preserve">ITM-09.7</t>
  </si>
  <si>
    <t xml:space="preserve">JUMLAH HARGA SATUAN — ITM-09 (per m')</t>
  </si>
  <si>
    <t xml:space="preserve">Link ke 'Master of Price'!G20</t>
  </si>
  <si>
    <t xml:space="preserve">Kelompok 2: PEKERJAAN PENGECORAN STRUKTUR BETON &amp; RANGKA PANEL (ITM-10 s/d ITM-16, ITM-22)</t>
  </si>
  <si>
    <t xml:space="preserve">Satuan: m³</t>
  </si>
  <si>
    <t xml:space="preserve">ITM-10.1</t>
  </si>
  <si>
    <t xml:space="preserve">Semen</t>
  </si>
  <si>
    <t xml:space="preserve">Koef. ± 5,2 sak/m³ × Rp 65.000/sak</t>
  </si>
  <si>
    <t xml:space="preserve">ITM-10.2</t>
  </si>
  <si>
    <t xml:space="preserve">Pasir beton</t>
  </si>
  <si>
    <t xml:space="preserve">Koef. ± 0,46 m³ × Rp 250.000/m³</t>
  </si>
  <si>
    <t xml:space="preserve">ITM-10.3</t>
  </si>
  <si>
    <t xml:space="preserve">Batu split</t>
  </si>
  <si>
    <t xml:space="preserve">Koef. ± 0,90 m³ × Rp 300.000/m³</t>
  </si>
  <si>
    <t xml:space="preserve">ITM-10.4</t>
  </si>
  <si>
    <t xml:space="preserve">Air pemeliharaan/curing</t>
  </si>
  <si>
    <t xml:space="preserve">Termasuk pemeliharaan beton</t>
  </si>
  <si>
    <t xml:space="preserve">ITM-10.5</t>
  </si>
  <si>
    <t xml:space="preserve">Upah cor, finishing &amp; bekisting sederhana</t>
  </si>
  <si>
    <t xml:space="preserve">Upah lokal Tebo, all-in per m³</t>
  </si>
  <si>
    <t xml:space="preserve">ITM-10.6</t>
  </si>
  <si>
    <t xml:space="preserve">± 5% dari harga satuan</t>
  </si>
  <si>
    <t xml:space="preserve">JUMLAH HARGA SATUAN — ITM-10 (per m³)</t>
  </si>
  <si>
    <t xml:space="preserve">Link ke 'Master of Price'!G21</t>
  </si>
  <si>
    <t xml:space="preserve">ITM-11.1</t>
  </si>
  <si>
    <t xml:space="preserve">Upah galian tanah biasa</t>
  </si>
  <si>
    <t xml:space="preserve">Upah lokal ± Rp 40.000/m³</t>
  </si>
  <si>
    <t xml:space="preserve">ITM-11.2</t>
  </si>
  <si>
    <t xml:space="preserve">Alat bantu &amp; penimbunan tanah buangan</t>
  </si>
  <si>
    <t xml:space="preserve">Alokasi per m³</t>
  </si>
  <si>
    <t xml:space="preserve">ITM-11.3</t>
  </si>
  <si>
    <t xml:space="preserve">± 5,3% dari harga satuan</t>
  </si>
  <si>
    <t xml:space="preserve">JUMLAH HARGA SATUAN — ITM-11 (per m³)</t>
  </si>
  <si>
    <t xml:space="preserve">Link ke 'Master of Price'!G22</t>
  </si>
  <si>
    <t xml:space="preserve">ITM-12.1</t>
  </si>
  <si>
    <t xml:space="preserve">Material pasir urug</t>
  </si>
  <si>
    <t xml:space="preserve">Harga pasir lokal ± Rp 60.000/m³</t>
  </si>
  <si>
    <t xml:space="preserve">ITM-12.2</t>
  </si>
  <si>
    <t xml:space="preserve">Upah urug &amp; pemadatan</t>
  </si>
  <si>
    <t xml:space="preserve">ITM-12.3</t>
  </si>
  <si>
    <t xml:space="preserve">± 5,6% dari harga satuan</t>
  </si>
  <si>
    <t xml:space="preserve">JUMLAH HARGA SATUAN — ITM-12 (per m³)</t>
  </si>
  <si>
    <t xml:space="preserve">Link ke 'Master of Price'!G23</t>
  </si>
  <si>
    <t xml:space="preserve">ITM-13.1</t>
  </si>
  <si>
    <t xml:space="preserve">Material batu kosong/belah</t>
  </si>
  <si>
    <t xml:space="preserve">Harga lokal ± Rp 95.000/m³</t>
  </si>
  <si>
    <t xml:space="preserve">ITM-13.2</t>
  </si>
  <si>
    <t xml:space="preserve">Upah urug/susun batu kosong</t>
  </si>
  <si>
    <t xml:space="preserve">ITM-13.3</t>
  </si>
  <si>
    <t xml:space="preserve">± 7,7% dari harga satuan</t>
  </si>
  <si>
    <t xml:space="preserve">JUMLAH HARGA SATUAN — ITM-13 (per m³)</t>
  </si>
  <si>
    <t xml:space="preserve">Link ke 'Master of Price'!G24</t>
  </si>
  <si>
    <t xml:space="preserve">ITM-14.1</t>
  </si>
  <si>
    <t xml:space="preserve">Batu kali</t>
  </si>
  <si>
    <t xml:space="preserve">Koef. ± 1,1 m³ × Rp 150.000/m³</t>
  </si>
  <si>
    <t xml:space="preserve">ITM-14.2</t>
  </si>
  <si>
    <t xml:space="preserve">Koef. ± 2,5 sak/m³ × Rp 65.000/sak</t>
  </si>
  <si>
    <t xml:space="preserve">ITM-14.3</t>
  </si>
  <si>
    <t xml:space="preserve">Pasir pasang</t>
  </si>
  <si>
    <t xml:space="preserve">Koef. ± 0,5 m³ × Rp 250.000/m³</t>
  </si>
  <si>
    <t xml:space="preserve">ITM-14.4</t>
  </si>
  <si>
    <t xml:space="preserve">Upah pasang pondasi batu kali menerus</t>
  </si>
  <si>
    <t xml:space="preserve">ITM-14.5</t>
  </si>
  <si>
    <t xml:space="preserve">± 8,2% dari harga satuan</t>
  </si>
  <si>
    <t xml:space="preserve">JUMLAH HARGA SATUAN — ITM-14 (per m³)</t>
  </si>
  <si>
    <t xml:space="preserve">Link ke 'Master of Price'!G25</t>
  </si>
  <si>
    <t xml:space="preserve">ITM-15.1</t>
  </si>
  <si>
    <t xml:space="preserve">ITM-15.2</t>
  </si>
  <si>
    <t xml:space="preserve">ITM-15.3</t>
  </si>
  <si>
    <t xml:space="preserve">ITM-15.4</t>
  </si>
  <si>
    <t xml:space="preserve">Bekisting (kayu, paku, minyak bekisting)</t>
  </si>
  <si>
    <t xml:space="preserve">Material bekisting balok/sloof</t>
  </si>
  <si>
    <t xml:space="preserve">ITM-15.5</t>
  </si>
  <si>
    <t xml:space="preserve">Upah cor &amp; pasang bekisting</t>
  </si>
  <si>
    <t xml:space="preserve">ITM-15.6</t>
  </si>
  <si>
    <t xml:space="preserve">± 3,7% dari harga satuan</t>
  </si>
  <si>
    <t xml:space="preserve">JUMLAH HARGA SATUAN — ITM-15 (per m³)</t>
  </si>
  <si>
    <t xml:space="preserve">Link ke 'Master of Price'!G26</t>
  </si>
  <si>
    <t xml:space="preserve">ITM-16.1</t>
  </si>
  <si>
    <t xml:space="preserve">Koef. ± 6 sak/m³ × Rp 65.000/sak</t>
  </si>
  <si>
    <t xml:space="preserve">ITM-16.2</t>
  </si>
  <si>
    <t xml:space="preserve">Koef. ± 0,48 m³ × Rp 250.000/m³</t>
  </si>
  <si>
    <t xml:space="preserve">ITM-16.3</t>
  </si>
  <si>
    <t xml:space="preserve">Koef. ± 0,93 m³ × Rp 300.000/m³</t>
  </si>
  <si>
    <t xml:space="preserve">ITM-16.4</t>
  </si>
  <si>
    <t xml:space="preserve">Bekisting dinding 2 sisi (kayu &amp; paku)</t>
  </si>
  <si>
    <t xml:space="preserve">Material bekisting bak</t>
  </si>
  <si>
    <t xml:space="preserve">ITM-16.5</t>
  </si>
  <si>
    <t xml:space="preserve">Material waterproofing (coating/semen water plug)</t>
  </si>
  <si>
    <t xml:space="preserve">Pengedapan bak penampung</t>
  </si>
  <si>
    <t xml:space="preserve">ITM-16.6</t>
  </si>
  <si>
    <t xml:space="preserve">Upah cor, bekisting &amp; waterproofing</t>
  </si>
  <si>
    <t xml:space="preserve">ITM-16.7</t>
  </si>
  <si>
    <t xml:space="preserve">± 2,5% dari harga satuan</t>
  </si>
  <si>
    <t xml:space="preserve">JUMLAH HARGA SATUAN — ITM-16 (per m³)</t>
  </si>
  <si>
    <t xml:space="preserve">Link ke 'Master of Price'!G27</t>
  </si>
  <si>
    <t xml:space="preserve">Satuan: Set</t>
  </si>
  <si>
    <t xml:space="preserve">ITM-22.1</t>
  </si>
  <si>
    <t xml:space="preserve">Hollow galvanis Ø 1,2 inch (± 25 batang @ 4 m)</t>
  </si>
  <si>
    <t xml:space="preserve">Material utama rangka</t>
  </si>
  <si>
    <t xml:space="preserve">ITM-22.2</t>
  </si>
  <si>
    <t xml:space="preserve">Pengaku baja ringan &amp; profil penopang</t>
  </si>
  <si>
    <t xml:space="preserve">Material pengaku</t>
  </si>
  <si>
    <t xml:space="preserve">ITM-22.3</t>
  </si>
  <si>
    <t xml:space="preserve">Baut, mur, ring, dynabolt (hardware set)</t>
  </si>
  <si>
    <t xml:space="preserve">Material pengikat</t>
  </si>
  <si>
    <t xml:space="preserve">ITM-22.4</t>
  </si>
  <si>
    <t xml:space="preserve">Bracket mounting &amp; konektor panel</t>
  </si>
  <si>
    <t xml:space="preserve">Material sambungan panel</t>
  </si>
  <si>
    <t xml:space="preserve">ITM-22.5</t>
  </si>
  <si>
    <t xml:space="preserve">Cat anti-karat &amp; finishing</t>
  </si>
  <si>
    <t xml:space="preserve">Proteksi rangka</t>
  </si>
  <si>
    <t xml:space="preserve">ITM-22.6</t>
  </si>
  <si>
    <t xml:space="preserve">Upah fabrikasi &amp; pemasangan rangka</t>
  </si>
  <si>
    <t xml:space="preserve">Upah tukang las/pasang</t>
  </si>
  <si>
    <t xml:space="preserve">ITM-22.7</t>
  </si>
  <si>
    <t xml:space="preserve">± 8,9% dari harga satuan</t>
  </si>
  <si>
    <t xml:space="preserve">JUMLAH HARGA SATUAN — ITM-22 (per Set)</t>
  </si>
  <si>
    <t xml:space="preserve">Link ke 'Master of Price'!G28</t>
  </si>
  <si>
    <t xml:space="preserve">Kelompok 3: SOLAR PUMP SUBMERSIBLE (ITM-19 s/d ITM-21, ITM-23)</t>
  </si>
  <si>
    <t xml:space="preserve">Satuan: Unit</t>
  </si>
  <si>
    <t xml:space="preserve">ITM-19.1</t>
  </si>
  <si>
    <t xml:space="preserve">Pompa submersible 2 HP (± 1.492 W), bodi stainless 3 inch, head ± 45 m</t>
  </si>
  <si>
    <t xml:space="preserve">Harga pasar unit pompa 2024-2025</t>
  </si>
  <si>
    <t xml:space="preserve">ITM-19.2</t>
  </si>
  <si>
    <t xml:space="preserve">Inverter built-in MPPT ± 2,2 kW (solar pump VFD controller)</t>
  </si>
  <si>
    <t xml:space="preserve">Harga pasar inverter MPPT</t>
  </si>
  <si>
    <t xml:space="preserve">ITM-19.3</t>
  </si>
  <si>
    <t xml:space="preserve">Battery (bank baterai lithium/AGM lengkap BMS &amp; box baterai)</t>
  </si>
  <si>
    <t xml:space="preserve">Estimasi paket baterai hybrid</t>
  </si>
  <si>
    <t xml:space="preserve">ITM-19.4</t>
  </si>
  <si>
    <t xml:space="preserve">Panel kontrol (kontrol otomatis, sensor level, proteksi overload/surge)</t>
  </si>
  <si>
    <t xml:space="preserve">Estimasi pasar</t>
  </si>
  <si>
    <t xml:space="preserve">ITM-19.5</t>
  </si>
  <si>
    <t xml:space="preserve">Kabel pacu 45 m (kabel submersible 3 × 2,5 mm²)</t>
  </si>
  <si>
    <t xml:space="preserve">± Rp 33.000/m × 45 m</t>
  </si>
  <si>
    <t xml:space="preserve">ITM-19.6</t>
  </si>
  <si>
    <t xml:space="preserve">Stopper &amp; bracket (klem pipa, tali stainless, safety clamp)</t>
  </si>
  <si>
    <t xml:space="preserve">ITM-19.7</t>
  </si>
  <si>
    <t xml:space="preserve">Transport, assembling &amp; testing paket</t>
  </si>
  <si>
    <t xml:space="preserve">Alokasi ke lokasi Kab. Tebo</t>
  </si>
  <si>
    <t xml:space="preserve">ITM-19.8</t>
  </si>
  <si>
    <t xml:space="preserve">± 6,3% dari harga satuan</t>
  </si>
  <si>
    <t xml:space="preserve">JUMLAH HARGA SATUAN — ITM-19 (per Unit)</t>
  </si>
  <si>
    <t xml:space="preserve">Link ke 'Master of Price'!G29</t>
  </si>
  <si>
    <t xml:space="preserve">Satuan: Lump Sum</t>
  </si>
  <si>
    <t xml:space="preserve">ITM-20.1</t>
  </si>
  <si>
    <t xml:space="preserve">Upah pemasangan pompa dalam sumur (penurunan, alignment, pengencangan)</t>
  </si>
  <si>
    <t xml:space="preserve">Upah teknisi, all-in</t>
  </si>
  <si>
    <t xml:space="preserve">ITM-20.2</t>
  </si>
  <si>
    <t xml:space="preserve">Material penyangga &amp; sambungan (nipple, klem, teflon, seal)</t>
  </si>
  <si>
    <t xml:space="preserve">Material pelengkap</t>
  </si>
  <si>
    <t xml:space="preserve">ITM-20.3</t>
  </si>
  <si>
    <t xml:space="preserve">Alat bantu angkat &amp; penurunan pompa (tali, katrol, winch)</t>
  </si>
  <si>
    <t xml:space="preserve">Amortisasi alat</t>
  </si>
  <si>
    <t xml:space="preserve">ITM-20.4</t>
  </si>
  <si>
    <t xml:space="preserve">Pengujian &amp; setting pompa</t>
  </si>
  <si>
    <t xml:space="preserve">Functional test</t>
  </si>
  <si>
    <t xml:space="preserve">ITM-20.5</t>
  </si>
  <si>
    <t xml:space="preserve">JUMLAH HARGA SATUAN — ITM-20 (per Lump Sum)</t>
  </si>
  <si>
    <t xml:space="preserve">Link ke 'Master of Price'!G30</t>
  </si>
  <si>
    <t xml:space="preserve">ITM-21.1</t>
  </si>
  <si>
    <t xml:space="preserve">Modul PV monokristalin 550 Wp Grade A</t>
  </si>
  <si>
    <t xml:space="preserve">Harga pasar 2024-2025 (garansi performansi 25 th)</t>
  </si>
  <si>
    <t xml:space="preserve">ITM-21.2</t>
  </si>
  <si>
    <t xml:space="preserve">Kabel PV &amp; konektor MC4 (set per panel)</t>
  </si>
  <si>
    <t xml:space="preserve">Aksesori instalasi PV</t>
  </si>
  <si>
    <t xml:space="preserve">ITM-21.3</t>
  </si>
  <si>
    <t xml:space="preserve">Proteksi DC (fuse &amp; holder)</t>
  </si>
  <si>
    <t xml:space="preserve">Amortisasi proteksi string per panel</t>
  </si>
  <si>
    <t xml:space="preserve">ITM-21.4</t>
  </si>
  <si>
    <t xml:space="preserve">Estimasi ongkos kirim ke Tebo</t>
  </si>
  <si>
    <t xml:space="preserve">ITM-21.5</t>
  </si>
  <si>
    <t xml:space="preserve">± 8,1% dari harga satuan</t>
  </si>
  <si>
    <t xml:space="preserve">JUMLAH HARGA SATUAN — ITM-21 (per Unit)</t>
  </si>
  <si>
    <t xml:space="preserve">Link ke 'Master of Price'!G31</t>
  </si>
  <si>
    <t xml:space="preserve">ITM-23.1</t>
  </si>
  <si>
    <t xml:space="preserve">Kabel PV utama, kabel pompa &amp; armature</t>
  </si>
  <si>
    <t xml:space="preserve">Material instalasi</t>
  </si>
  <si>
    <t xml:space="preserve">ITM-23.2</t>
  </si>
  <si>
    <t xml:space="preserve">Sistem grounding (rod, kabel BC, clamp)</t>
  </si>
  <si>
    <t xml:space="preserve">Material grounding</t>
  </si>
  <si>
    <t xml:space="preserve">ITM-23.3</t>
  </si>
  <si>
    <t xml:space="preserve">Upah wiring PV &amp; penyambungan akhir</t>
  </si>
  <si>
    <t xml:space="preserve">Upah teknisi</t>
  </si>
  <si>
    <t xml:space="preserve">ITM-23.4</t>
  </si>
  <si>
    <t xml:space="preserve">Load test pompa &amp; pengujian output</t>
  </si>
  <si>
    <t xml:space="preserve">Pengujian sistem</t>
  </si>
  <si>
    <t xml:space="preserve">ITM-23.5</t>
  </si>
  <si>
    <t xml:space="preserve">Commissioning &amp; dokumentasi</t>
  </si>
  <si>
    <t xml:space="preserve">Serah terima sistem</t>
  </si>
  <si>
    <t xml:space="preserve">ITM-23.6</t>
  </si>
  <si>
    <t xml:space="preserve">± 10% dari harga satuan</t>
  </si>
  <si>
    <t xml:space="preserve">JUMLAH HARGA SATUAN — ITM-23 (per Lump Sum)</t>
  </si>
  <si>
    <t xml:space="preserve">Link ke 'Master of Price'!G32</t>
  </si>
  <si>
    <t xml:space="preserve">Kelompok 4: DIESEL / PLN PUMP SUBMERSIBLE (ITM-17 s/d ITM-18, ITM-24 s/d ITM-26)</t>
  </si>
  <si>
    <t xml:space="preserve">ITM-17.1</t>
  </si>
  <si>
    <t xml:space="preserve">Mesin pompa diesel JD 330 — 35 HP, 4 langkah 1 silinder, intake/out 3 inch</t>
  </si>
  <si>
    <t xml:space="preserve">Harga pasar mesin 2024-2025</t>
  </si>
  <si>
    <t xml:space="preserve">ITM-17.2</t>
  </si>
  <si>
    <t xml:space="preserve">Bracket/dudukan mesin (baja + baut pondasi)</t>
  </si>
  <si>
    <t xml:space="preserve">Fabrikasi lokal</t>
  </si>
  <si>
    <t xml:space="preserve">ITM-17.3</t>
  </si>
  <si>
    <t xml:space="preserve">Aksesoris (kopling, seal, toolkit, filter)</t>
  </si>
  <si>
    <t xml:space="preserve">Paket aksesoris standar</t>
  </si>
  <si>
    <t xml:space="preserve">ITM-17.4</t>
  </si>
  <si>
    <t xml:space="preserve">Transport &amp; handling ke lokasi (Kab. Tebo)</t>
  </si>
  <si>
    <t xml:space="preserve">Estimasi ongkos kirim</t>
  </si>
  <si>
    <t xml:space="preserve">ITM-17.5</t>
  </si>
  <si>
    <t xml:space="preserve">± 6,4% dari harga satuan</t>
  </si>
  <si>
    <t xml:space="preserve">JUMLAH HARGA SATUAN — ITM-17 (per Unit)</t>
  </si>
  <si>
    <t xml:space="preserve">Link ke 'Master of Price'!G33</t>
  </si>
  <si>
    <t xml:space="preserve">ITM-18.1</t>
  </si>
  <si>
    <t xml:space="preserve">Pipa hisap &amp; pipa lepas 3 inch + fitting (kaki vakum, kran, seal)</t>
  </si>
  <si>
    <t xml:space="preserve">Harga material + alokasi</t>
  </si>
  <si>
    <t xml:space="preserve">ITM-18.2</t>
  </si>
  <si>
    <t xml:space="preserve">Coupling, flexible joint &amp; seal sambungan</t>
  </si>
  <si>
    <t xml:space="preserve">Material sambungan</t>
  </si>
  <si>
    <t xml:space="preserve">ITM-18.3</t>
  </si>
  <si>
    <t xml:space="preserve">Upah instalasi mekanikal</t>
  </si>
  <si>
    <t xml:space="preserve">ITM-18.4</t>
  </si>
  <si>
    <t xml:space="preserve">BBM &amp; biaya commissioning/pengujian</t>
  </si>
  <si>
    <t xml:space="preserve">ITM-18.5</t>
  </si>
  <si>
    <t xml:space="preserve">JUMLAH HARGA SATUAN — ITM-18 (per Lump Sum)</t>
  </si>
  <si>
    <t xml:space="preserve">Link ke 'Master of Price'!G34</t>
  </si>
  <si>
    <t xml:space="preserve">ITM-24.1</t>
  </si>
  <si>
    <t xml:space="preserve">Pompa submersible 4 inch, 5,5 HP (bodi stainless)</t>
  </si>
  <si>
    <t xml:space="preserve">Harga pasar 2024-2025</t>
  </si>
  <si>
    <t xml:space="preserve">ITM-24.2</t>
  </si>
  <si>
    <t xml:space="preserve">Harga pasar, paket 45 m</t>
  </si>
  <si>
    <t xml:space="preserve">ITM-24.3</t>
  </si>
  <si>
    <t xml:space="preserve">Stopper &amp; bracket (klem, tali, safety clamp)</t>
  </si>
  <si>
    <t xml:space="preserve">ITM-24.4</t>
  </si>
  <si>
    <t xml:space="preserve">ITM-24.5</t>
  </si>
  <si>
    <t xml:space="preserve">± 6% dari harga satuan</t>
  </si>
  <si>
    <t xml:space="preserve">JUMLAH HARGA SATUAN — ITM-24 (per Unit)</t>
  </si>
  <si>
    <t xml:space="preserve">Link ke 'Master of Price'!G35</t>
  </si>
  <si>
    <t xml:space="preserve">ITM-25.1</t>
  </si>
  <si>
    <t xml:space="preserve">Kabel NYM/NYY 2 × 4 mm² sepanjang 50 m</t>
  </si>
  <si>
    <t xml:space="preserve">± Rp 8.000/m</t>
  </si>
  <si>
    <t xml:space="preserve">ITM-25.2</t>
  </si>
  <si>
    <t xml:space="preserve">MCB &amp; box panel kontrol</t>
  </si>
  <si>
    <t xml:space="preserve">Material proteksi</t>
  </si>
  <si>
    <t xml:space="preserve">ITM-25.3</t>
  </si>
  <si>
    <t xml:space="preserve">Grounding (rod + kabel BC + clamp)</t>
  </si>
  <si>
    <t xml:space="preserve">ITM-25.4</t>
  </si>
  <si>
    <t xml:space="preserve">Upah instalasi &amp; penyambungan listrik</t>
  </si>
  <si>
    <t xml:space="preserve">ITM-25.5</t>
  </si>
  <si>
    <t xml:space="preserve">Pengujian tegangan/arus</t>
  </si>
  <si>
    <t xml:space="preserve">Pengujian instalasi</t>
  </si>
  <si>
    <t xml:space="preserve">ITM-25.6</t>
  </si>
  <si>
    <t xml:space="preserve">JUMLAH HARGA SATUAN — ITM-25 (per Lump Sum)</t>
  </si>
  <si>
    <t xml:space="preserve">Link ke 'Master of Price'!G36</t>
  </si>
  <si>
    <t xml:space="preserve">ITM-26.1</t>
  </si>
  <si>
    <t xml:space="preserve">Upah pemasangan pompa submersible</t>
  </si>
  <si>
    <t xml:space="preserve">ITM-26.2</t>
  </si>
  <si>
    <t xml:space="preserve">Material sambungan &amp; seal</t>
  </si>
  <si>
    <t xml:space="preserve">ITM-26.3</t>
  </si>
  <si>
    <t xml:space="preserve">Commissioning &amp; pengujian</t>
  </si>
  <si>
    <t xml:space="preserve">ITM-26.4</t>
  </si>
  <si>
    <t xml:space="preserve">JUMLAH HARGA SATUAN — ITM-26 (per Lump Sum)</t>
  </si>
  <si>
    <t xml:space="preserve">Link ke 'Master of Price'!G37</t>
  </si>
  <si>
    <t xml:space="preserve">REFERENSI HARGA | Sumber Harga Pasar per Item (Riset Web 10 Sep 2026)</t>
  </si>
  <si>
    <t xml:space="preserve">Dokumentasi sumber referensi harga pasar tiap item RAB (marketplace, distributor, artikel media, regulasi HSPK/SSH).</t>
  </si>
  <si>
    <t xml:space="preserve">Bandingkan kolom 'Harga Pasar Ditemukan' vs 'Harga RAB' (live link ke Master of Price). Harga RAB tetap sumber tunggal perhitungan.</t>
  </si>
  <si>
    <t xml:space="preserve">Tanggal Riset</t>
  </si>
  <si>
    <t xml:space="preserve">10 September 2026 — harga pasar dapat berubah sewaktu-waktu; sebagian link dapat kedaluwarsa.</t>
  </si>
  <si>
    <t xml:space="preserve">Sumber Utama</t>
  </si>
  <si>
    <t xml:space="preserve">Tokopedia, Shopee, Lazada, Blibli, PADI UMKM, Juragan Material, distributor, Detik/Lamudi/Brighton/99.co, JDIH Kab. Tebo, AHSP PU.</t>
  </si>
  <si>
    <t xml:space="preserve">Catatan</t>
  </si>
  <si>
    <t xml:space="preserve">Harga pasar = harga eceran/marketplace online; harga lokal Tebo bisa berbeda karena ongkos kirim &amp; volume. Item bertanda "kandidat koreksi" = selisih signifikan vs RAB.</t>
  </si>
  <si>
    <t xml:space="preserve">DAFTAR REFERENSI HARGA PASAR (26 ITEM + REFERENSI UMUM)</t>
  </si>
  <si>
    <t xml:space="preserve">Kode</t>
  </si>
  <si>
    <t xml:space="preserve">Sat.</t>
  </si>
  <si>
    <t xml:space="preserve">Harga RAB (Rp)</t>
  </si>
  <si>
    <t xml:space="preserve">Harga Pasar Ditemukan</t>
  </si>
  <si>
    <t xml:space="preserve">Sumber / Platform</t>
  </si>
  <si>
    <t xml:space="preserve">Link Referensi</t>
  </si>
  <si>
    <t xml:space="preserve">REFERENSI UMUM (REGULASI &amp; UPAH) — DASAR "HSP KAB. TEOB / UPAH LOKAL"</t>
  </si>
  <si>
    <t xml:space="preserve">UMUM</t>
  </si>
  <si>
    <t xml:space="preserve">PERBUP Kab. Tebo No. 33/2025 — Standar Satuan Harga / SBU / HSPK</t>
  </si>
  <si>
    <t xml:space="preserve">—</t>
  </si>
  <si>
    <t xml:space="preserve">Rp 120.000/OH (pekerja), Rp 150.000/OH (tukang), Rp 175.000/OH (kepala tukang) — Tebo</t>
  </si>
  <si>
    <t xml:space="preserve">JDIH Kab. Tebo (jdih.tebokab.go.id)</t>
  </si>
  <si>
    <t xml:space="preserve">https://jdih.tebokab.go.id</t>
  </si>
  <si>
    <t xml:space="preserve">Regulasi standar harga Kab. Tebo terbaru. Dasar klaim 'HSP Kab. Tebo' pada sheet Rincian Harga.</t>
  </si>
  <si>
    <t xml:space="preserve">Perbup Kab. Tebo No. 2/2022 — SSH &amp; SBU (Perubahan Kedua Perbup 78/2021)</t>
  </si>
  <si>
    <t xml:space="preserve">Standar satuan harga &amp; biaya umum Kab. Tebo 2022</t>
  </si>
  <si>
    <t xml:space="preserve">peraturan.bpk.go.id</t>
  </si>
  <si>
    <t xml:space="preserve">https://peraturan.bpk.go.id</t>
  </si>
  <si>
    <t xml:space="preserve">Arsip regulasi resmi — pembanding tarif upah/material Tebo.</t>
  </si>
  <si>
    <t xml:space="preserve">Perbup Kab. Tebo No. 8/2023 — SSH, HSPK &amp; Analisis Standar Biaya</t>
  </si>
  <si>
    <t xml:space="preserve">Standar harga Kab. Tebo 2023</t>
  </si>
  <si>
    <t xml:space="preserve">pasal.id</t>
  </si>
  <si>
    <t xml:space="preserve">https://pasal.id</t>
  </si>
  <si>
    <t xml:space="preserve">Versi peraturan antara 2022-2025.</t>
  </si>
  <si>
    <t xml:space="preserve">AHSP Bidang Cipta Karya — Kementerian PUPR</t>
  </si>
  <si>
    <t xml:space="preserve">Analisa harga satuan pekerjaan nasional (upah + koefisien material)</t>
  </si>
  <si>
    <t xml:space="preserve">Bina Konstruksi PU (binakonstruksi.pu.go.id)</t>
  </si>
  <si>
    <t xml:space="preserve">https://binakonstruksi.pu.go.id</t>
  </si>
  <si>
    <t xml:space="preserve">Basis analisa upah &amp; koefisien komponen pekerjaan sipil.</t>
  </si>
  <si>
    <t xml:space="preserve">Upah harian Kab. Tebo (drainase): Pekerja Rp 120.000, Tukang Rp 150.000, Kepala Tukang Rp 175.000 per OH</t>
  </si>
  <si>
    <t xml:space="preserve">Scribd — dokumen 'Harga Upah dan Material Drainase Tebo'</t>
  </si>
  <si>
    <t xml:space="preserve">https://id.scribd.com</t>
  </si>
  <si>
    <t xml:space="preserve">Basis keterangan 'Upah lokal Tebo' pada komponen upah di sheet Rincian Harga.</t>
  </si>
  <si>
    <t xml:space="preserve">Analisa Pekerjaan Sumur Bor (komponen rig, lumpur bor, casing, gravel)</t>
  </si>
  <si>
    <t xml:space="preserve">Struktur komponen pengeboran</t>
  </si>
  <si>
    <t xml:space="preserve">Scribd — 'Analisa Pekerjaan Sumur Bor'</t>
  </si>
  <si>
    <t xml:space="preserve">Pembanding struktur komponen pekerjaan pemboran sumur dalam.</t>
  </si>
  <si>
    <t xml:space="preserve">KELOMPOK 1 — PEKERJAAN PENGEORAN SUMUR (ITM-01 s/d ITM-09)</t>
  </si>
  <si>
    <t xml:space="preserve">Jasa bor nasional Rp 150.000–300.000/m'</t>
  </si>
  <si>
    <t xml:space="preserve">Lamudi — artikel 'Berapa Biaya Sumur Bor Terbaru?' (Feb 2024)</t>
  </si>
  <si>
    <t xml:space="preserve">https://www.lamudi.co.id</t>
  </si>
  <si>
    <t xml:space="preserve">RAB Rp 352rb/m = all-in (rig+BBM+lumpur+upah+mob-demob+developing+OVH) — sedikit di atas kisaran jasa bor murni.</t>
  </si>
  <si>
    <t xml:space="preserve">Paket bor: 20 m Rp 5 jt, 30 m Rp 6,5 jt (per kedalaman)</t>
  </si>
  <si>
    <t xml:space="preserve">Tedmond Groups (Okt 2024)</t>
  </si>
  <si>
    <t xml:space="preserve">https://tedmondgroups.co.id</t>
  </si>
  <si>
    <t xml:space="preserve">Paket per kedalaman; tarif per meter menurun pada kedalaman besar.</t>
  </si>
  <si>
    <t xml:space="preserve">Rp 150.000–300.000/m'</t>
  </si>
  <si>
    <t xml:space="preserve">KlopMart (Okt 2023)</t>
  </si>
  <si>
    <t xml:space="preserve">https://www.klopmart.com</t>
  </si>
  <si>
    <t xml:space="preserve">Artikel biaya pembuatan sumur bor — konsisten kisaran nasional.</t>
  </si>
  <si>
    <t xml:space="preserve">Rucika AW 6" 4 m: Rp 786.671/batang (± Rp 196.700/m')</t>
  </si>
  <si>
    <t xml:space="preserve">Juragan Material — Pipa PVC Rucika AW 6"</t>
  </si>
  <si>
    <t xml:space="preserve">https://juraganmaterial.id</t>
  </si>
  <si>
    <t xml:space="preserve">Harga RAB material Rp 82rb/m JAUH di bawah harga eceran 2025/2026 — kandidat koreksi harga.</t>
  </si>
  <si>
    <t xml:space="preserve">Daftar harga resmi pipa AW per ukuran (Rp 7.050–789.750/m)</t>
  </si>
  <si>
    <t xml:space="preserve">Rucika (produsen)</t>
  </si>
  <si>
    <t xml:space="preserve">https://www.rucika.co.id</t>
  </si>
  <si>
    <t xml:space="preserve">Harga pabrik resmi — cek ukuran AW 6 inch spesifik.</t>
  </si>
  <si>
    <t xml:space="preserve">Pipa PVC AW 2" 4 m: Rp 91.000–146.000/batang (± Rp 23–37rb/m')</t>
  </si>
  <si>
    <t xml:space="preserve">Shopee — pipa PVC AW 2 inch 4 meter</t>
  </si>
  <si>
    <t xml:space="preserve">https://shopee.co.id/search?keyword=pipa%20pvc%20aw%202%20inch%204%20meter</t>
  </si>
  <si>
    <t xml:space="preserve">Konsisten dengan RAB Rp 20rb/m (material) + fitting + upah.</t>
  </si>
  <si>
    <t xml:space="preserve">Harga katalog e-procurement (± Rp 52rb/batang 4 m)</t>
  </si>
  <si>
    <t xml:space="preserve">Inaproc Katalog Elektronik</t>
  </si>
  <si>
    <t xml:space="preserve">https://katalog.inaproc.id</t>
  </si>
  <si>
    <t xml:space="preserve">Harga pengadaan pemerintah sebagai pembanding.</t>
  </si>
  <si>
    <t xml:space="preserve">Silika gravel media filter (per karung 50 kg)</t>
  </si>
  <si>
    <t xml:space="preserve">Aquatech Indonesia</t>
  </si>
  <si>
    <t xml:space="preserve">https://www.aquatechindonesia.net/product/silika-sand-dan-silika-gravel/</t>
  </si>
  <si>
    <t xml:space="preserve">RAB memakai harga grosir lokal per m' annulus (Rp 12rb/m') — beda basis satuan.</t>
  </si>
  <si>
    <t xml:space="preserve">Silika gravel 50 kg/karung (eceran)</t>
  </si>
  <si>
    <t xml:space="preserve">Shopee — Silika Gravel 50kg</t>
  </si>
  <si>
    <t xml:space="preserve">https://shopee.co.id/Silika-Gravel-Silica-Gravel-50-kg-1-karung-1-bag-1-sak-1-zak-i.968575546.21987290207</t>
  </si>
  <si>
    <t xml:space="preserve">Harga eceran per karung; beli partai lebih murah.</t>
  </si>
  <si>
    <t xml:space="preserve">Semen 50 kg: mulai Rp 50.000–58.000/sak (Nov 2024)</t>
  </si>
  <si>
    <t xml:space="preserve">Detik Properti</t>
  </si>
  <si>
    <t xml:space="preserve">https://www.detik.com/properti/berita/d-7632414/harga-semen-termurah-hingga-termahal-per-sak-2024</t>
  </si>
  <si>
    <t xml:space="preserve">Komponen utama grout = semen; RAB Rp 65.000/sak sudah termasuk distribusi ke Tebo.</t>
  </si>
  <si>
    <t xml:space="preserve">Semen Tiga Roda / Holcim 50 kg: Rp 64.500/sak</t>
  </si>
  <si>
    <t xml:space="preserve">Scribd — daftar harga semen</t>
  </si>
  <si>
    <t xml:space="preserve">https://id.scribd.com/document/374720070/Semen-Tiga-Roda-50kg</t>
  </si>
  <si>
    <t xml:space="preserve">Sesuai asumsi RAB Rp 65.000/sak.</t>
  </si>
  <si>
    <t xml:space="preserve">Tarif jasa bor = ITM-01 (Rp 150.000–300.000/m')</t>
  </si>
  <si>
    <t xml:space="preserve">Lamudi (Feb 2024)</t>
  </si>
  <si>
    <t xml:space="preserve">Tarif pemboran sama untuk kedalaman 25–45 m; pembeda hanya volume.</t>
  </si>
  <si>
    <t xml:space="preserve">Tarif pemboran sama untuk semua kedalaman (lihat catatan ITM-01).</t>
  </si>
  <si>
    <t xml:space="preserve">Paket per kedalaman (20 m Rp 5 jt; 30 m Rp 6,5 jt)</t>
  </si>
  <si>
    <t xml:space="preserve">Detik — 'Kisaran Biaya Membuat Sumur Bor' (Nov 2024)</t>
  </si>
  <si>
    <t xml:space="preserve">https://www.detik.com</t>
  </si>
  <si>
    <t xml:space="preserve">Artikel lengkap paket sumur bor per kedalaman.</t>
  </si>
  <si>
    <t xml:space="preserve">Kedalaman 42 m — tarif per meter sama, volume menentukan total.</t>
  </si>
  <si>
    <t xml:space="preserve">KELOMPOK 2 — PEKERJAAN PENGECORAN STRUKTUR BETON &amp; RANGKA PANEL (ITM-10 s/d ITM-16, ITM-22)</t>
  </si>
  <si>
    <t xml:space="preserve">Borongan cor beton manual Rp 250.000–350.000/m³</t>
  </si>
  <si>
    <t xml:space="preserve">Brighton (Feb 2025)</t>
  </si>
  <si>
    <t xml:space="preserve">https://www.brighton.co.id/about/articles-all/harga-borongan-cor-beton-manual-untuk-proyek-konstruksi</t>
  </si>
  <si>
    <t xml:space="preserve">Pembanding upah cor+finishing RAB Rp 217rb/m³ (termasuk bekisting sederhana) — dalam kisaran.</t>
  </si>
  <si>
    <t xml:space="preserve">Upah tenaga cor Rp 45.000–60.000/m³ (material terpisah)</t>
  </si>
  <si>
    <t xml:space="preserve">Medcom.id (Okt 2024)</t>
  </si>
  <si>
    <t xml:space="preserve">https://www.medcom.id/properti/news-properti/zNPl0RWN-kisaran-upah-jasa-cor-beton-2024</t>
  </si>
  <si>
    <t xml:space="preserve">Material cor dihitung terpisah di Rincian Harga (semen/pasir/split — lihat referensi masing-masing).</t>
  </si>
  <si>
    <t xml:space="preserve">Borongan galian tanah ± Rp 159.000/m³</t>
  </si>
  <si>
    <t xml:space="preserve">99.co (Sep 2025)</t>
  </si>
  <si>
    <t xml:space="preserve">https://www.99.co</t>
  </si>
  <si>
    <t xml:space="preserve">Pembanding borongan; RAB upah Rp 40rb + alat Rp 5rb = galian upah murni (lebih hemat).</t>
  </si>
  <si>
    <t xml:space="preserve">AHSP menggali 1 m³ tanah biasa: Rp 76.250</t>
  </si>
  <si>
    <t xml:space="preserve">Scribd — Analisa Harga Satuan galian</t>
  </si>
  <si>
    <t xml:space="preserve">Analisa upah resmi — RAB (Rp 45rb/m³ total) berada di bawahnya.</t>
  </si>
  <si>
    <t xml:space="preserve">Pasir beton grade A Rp 320.000/m³ (Bekasi–Jakarta, Jul 2025)</t>
  </si>
  <si>
    <t xml:space="preserve">Harga Jabodetabek; pasir urug lokal Tebo jauh lebih murah (RAB Rp 60rb/m³).</t>
  </si>
  <si>
    <t xml:space="preserve">Pasir per truk 6 m³ ± Rp 1,95 jt (± Rp 325rb/m³)</t>
  </si>
  <si>
    <t xml:space="preserve">Jayawan</t>
  </si>
  <si>
    <t xml:space="preserve">https://jayawan.com</t>
  </si>
  <si>
    <t xml:space="preserve">Konversi harga grosir trukan.</t>
  </si>
  <si>
    <t xml:space="preserve">Batu belah/kali per truk 8 m³ Rp 2,22 jt (± Rp 278rb/m³)</t>
  </si>
  <si>
    <t xml:space="preserve">Tokopedia — batu kali pondasi</t>
  </si>
  <si>
    <t xml:space="preserve">https://www.tokopedia.com/find/batu-kali-pondasi</t>
  </si>
  <si>
    <t xml:space="preserve">RAB batu kosong Rp 95rb/m³ = batu belah lokal Tebo (di bawah harga trukan Jabodetabek).</t>
  </si>
  <si>
    <t xml:space="preserve">Borongan pondasi batu kali Rp 980.000–1.800.000/m³ (terpasang)</t>
  </si>
  <si>
    <t xml:space="preserve">Pinhome</t>
  </si>
  <si>
    <t xml:space="preserve">https://www.pinhome.id</t>
  </si>
  <si>
    <t xml:space="preserve">Harga terpasang all-in; RAB merinci sendiri (total ± Rp 700rb/m³) — lebih hemat.</t>
  </si>
  <si>
    <t xml:space="preserve">Borongan pondasi Rp 454.540–585.475 per meter panjang</t>
  </si>
  <si>
    <t xml:space="preserve">Brighton (Nov 2023)</t>
  </si>
  <si>
    <t xml:space="preserve">https://www.brighton.co.id</t>
  </si>
  <si>
    <t xml:space="preserve">Basis per meter linear — beda satuan dengan RAB (per m³); hanya pembanding.</t>
  </si>
  <si>
    <t xml:space="preserve">Beton cor ready-mix K-175: Rp 730.000–770.000/m³</t>
  </si>
  <si>
    <t xml:space="preserve">99.co (Jul 2025)</t>
  </si>
  <si>
    <t xml:space="preserve">https://www.99.co/id/panduan/harga-borongan-cor-beton</t>
  </si>
  <si>
    <t xml:space="preserve">Pembanding harga beton; RAB sloof manual ± Rp 1jt/m³ termasuk bekisting + upah.</t>
  </si>
  <si>
    <t xml:space="preserve">Jasa borong gelar beton (per m²/m³)</t>
  </si>
  <si>
    <t xml:space="preserve">Readymix.co.id</t>
  </si>
  <si>
    <t xml:space="preserve">https://readymix.co.id/produk/jasa-borong-gelar-beton</t>
  </si>
  <si>
    <t xml:space="preserve">Alternatif ready-mix untuk volume cor lebih besar.</t>
  </si>
  <si>
    <t xml:space="preserve">Boron cor K-175 ± Rp 850.000/m³ (borongan jalan)</t>
  </si>
  <si>
    <t xml:space="preserve">Niagara Readymix</t>
  </si>
  <si>
    <t xml:space="preserve">https://www.niagareadymix.com/2022/06/harga-borongan-cor-beton-jalan.html</t>
  </si>
  <si>
    <t xml:space="preserve">Pembanding; RAB bak beton ± Rp 1,2jt/m³ termasuk bekisting 2 sisi + waterproofing.</t>
  </si>
  <si>
    <t xml:space="preserve">Hollow galvanis 2×4 cm tebal 1,2 mm @6 m: Rp 47.000/batang (± 25 btg ≈ Rp 1,18 jt)</t>
  </si>
  <si>
    <t xml:space="preserve">Tokopedia — hollow galvanis</t>
  </si>
  <si>
    <t xml:space="preserve">https://www.tokopedia.com/find/hollow-galvanis</t>
  </si>
  <si>
    <t xml:space="preserve">KONSISTEN dengan Rincian Harga (material rangka Rp 1,2jt / ± 25 batang).</t>
  </si>
  <si>
    <t xml:space="preserve">Daftar harga hollow galvanis per ukuran (40×80×1,2mm @6m Rp 235.300)</t>
  </si>
  <si>
    <t xml:space="preserve">SMS Perkasa</t>
  </si>
  <si>
    <t xml:space="preserve">https://www.smsperkasa.com</t>
  </si>
  <si>
    <t xml:space="preserve">Profil hollow lain — pembanding ukuran berbeda.</t>
  </si>
  <si>
    <t xml:space="preserve">KELOMPOK 3 — SOLAR PUMP SUBMERSIBLE (ITM-19 s/d ITM-21, ITM-23)</t>
  </si>
  <si>
    <t xml:space="preserve">Pompa Satelit Turbomeister 3" 2 HP: Rp 3.240.000–3.510.000</t>
  </si>
  <si>
    <t xml:space="preserve">Shopee — pompa satelit 3 inch 2hp</t>
  </si>
  <si>
    <t xml:space="preserve">https://shopee.co.id/search?keyword=pompa%20satelit%203%20inch%202%20hp</t>
  </si>
  <si>
    <t xml:space="preserve">RAB pompa Rp 6,5jt (2 HP stainless) — di atas merek lokal, di bawah merek impor.</t>
  </si>
  <si>
    <t xml:space="preserve">Pompa submersible 3" mulai Rp 2.525.000 (per merek/HP)</t>
  </si>
  <si>
    <t xml:space="preserve">Sentral Pompa</t>
  </si>
  <si>
    <t xml:space="preserve">https://sentralpompa.com</t>
  </si>
  <si>
    <t xml:space="preserve">Katalog distributor pompa — berbagai merek.</t>
  </si>
  <si>
    <t xml:space="preserve">Inverter solar pump 2,2 kW: generic Rp 465rb s/d branded ± Rp 5jt</t>
  </si>
  <si>
    <t xml:space="preserve">Tokopedia — inverter solar pump</t>
  </si>
  <si>
    <t xml:space="preserve">https://www.tokopedia.com/find/inverter-solar-pump</t>
  </si>
  <si>
    <t xml:space="preserve">RAB inverter MPPT Rp 5jt = kelas branded dengan MPPT (mis. INVT/Voltronic).</t>
  </si>
  <si>
    <t xml:space="preserve">Baterai LiFePO4 24V 100Ah (berbagai merek: VOZ, CST, LiTime)</t>
  </si>
  <si>
    <t xml:space="preserve">Tokopedia — lifepo4 24v 100ah</t>
  </si>
  <si>
    <t xml:space="preserve">https://www.tokopedia.com/find/lifepo4-24v-100ah</t>
  </si>
  <si>
    <t xml:space="preserve">RAB paket baterai hybrid Rp 5jt — harga bervariasi per merek/kapasitas.</t>
  </si>
  <si>
    <t xml:space="preserve">Spesifikasi solar pump inverter 2,2 kW single-phase</t>
  </si>
  <si>
    <t xml:space="preserve">Inverter.com (internasional)</t>
  </si>
  <si>
    <t xml:space="preserve">https://www.inverter.com</t>
  </si>
  <si>
    <t xml:space="preserve">Referensi spesifikasi teknis inverter solar pump.</t>
  </si>
  <si>
    <t xml:space="preserve">Upah pemasangan pompa = upah teknisi lokal (lihat Referensi Umum)</t>
  </si>
  <si>
    <t xml:space="preserve">Scribd — Upah Kab. Tebo</t>
  </si>
  <si>
    <t xml:space="preserve">Estimasi internal; dasar upah harian Tebo lihat bagian Referensi Umum.</t>
  </si>
  <si>
    <t xml:space="preserve">Panel 550 Wp mono SNI: Rp 2.600.000–4.000.000/unit</t>
  </si>
  <si>
    <t xml:space="preserve">Tokopedia — solar panel 550wp</t>
  </si>
  <si>
    <t xml:space="preserve">https://www.tokopedia.com/find/solar-panel-550wp</t>
  </si>
  <si>
    <t xml:space="preserve">RAB Rp 1,6jt/unit = kelas grade A non-SNI; panel bersertifikat SNI lebih mahal — pertimbangkan jika syarat tender.</t>
  </si>
  <si>
    <t xml:space="preserve">Solana 550 Wp mono SNI ± Rp 2.648.000</t>
  </si>
  <si>
    <t xml:space="preserve">Shopee — gudangpanelsurya</t>
  </si>
  <si>
    <t xml:space="preserve">https://shopee.co.id/Solar-Panel-Surya-PV-550WP-Mono-Ber-SNI-550wp-Monocrystalline-SNI-i.378242829.22052287764</t>
  </si>
  <si>
    <t xml:space="preserve">Produk spesifik ber-SNI.</t>
  </si>
  <si>
    <t xml:space="preserve">AE Solar 550 Wp SNI tipe MD-144</t>
  </si>
  <si>
    <t xml:space="preserve">PADI UMKM — PRIMA PERKASA TEKNIK</t>
  </si>
  <si>
    <t xml:space="preserve">https://padiumkm.id/product/ae-solar-cell-panel-surya-550wp-sni-mono-type-md-144/6749c8c1a1ee7efbffa3db0b</t>
  </si>
  <si>
    <t xml:space="preserve">Marketplace B2B pemerintah.</t>
  </si>
  <si>
    <t xml:space="preserve">Lesso HPM 540/550 Wp mono SNI-TKDN</t>
  </si>
  <si>
    <t xml:space="preserve">Solar Surya Indotama (distributor)</t>
  </si>
  <si>
    <t xml:space="preserve">https://solarsuryaindotama.co.id/katalog-produk/module-solar-panel/solar-pv-lesso-hpm-series-550wp-monocystalline</t>
  </si>
  <si>
    <t xml:space="preserve">Distributor resmi — garansi performansi 25 tahun.</t>
  </si>
  <si>
    <t xml:space="preserve">Upah instalasi listrik/mekanikal — AHSP Cipta Karya</t>
  </si>
  <si>
    <t xml:space="preserve">Bina Konstruksi PU</t>
  </si>
  <si>
    <t xml:space="preserve">Basis upah instalasi; material kabel/grounding dirinci terpisah di sheet Rincian Harga.</t>
  </si>
  <si>
    <t xml:space="preserve">KELOMPOK 4 — DIESEL / PLN PUMP SUBMERSIBLE (ITM-17 s/d ITM-18, ITM-24 s/d ITM-26)</t>
  </si>
  <si>
    <t xml:space="preserve">Mesin Jiangdong JD330 35HP: Rp 22.400.000</t>
  </si>
  <si>
    <t xml:space="preserve">Lazada — tag 'mesin diesel jd 330'</t>
  </si>
  <si>
    <t xml:space="preserve">https://www.lazada.co.id/tag/mesin-diesel-jd-330</t>
  </si>
  <si>
    <t xml:space="preserve">HARGA MESIN SAJA. RAB Rp 10jt untuk mesin → JAUH di bawah pasar — kandidat koreksi besar.</t>
  </si>
  <si>
    <t xml:space="preserve">JD330 35HP Jiangdong: Rp 26.150.000–29.900.000</t>
  </si>
  <si>
    <t xml:space="preserve">Shopee — MESIN DIESEL JD330 35HP JIANGDONG</t>
  </si>
  <si>
    <t xml:space="preserve">https://shopee.co.id/MESIN-DIESEL-JD330-35HP-JIANGDONG-i.123248750.4255848393</t>
  </si>
  <si>
    <t xml:space="preserve">Mesin lengkap dengan sistem starter.</t>
  </si>
  <si>
    <t xml:space="preserve">Spesifikasi JD330D: 35 HP / 2.200 rpm, 1.593 L, 4 langkah 1 silinder</t>
  </si>
  <si>
    <t xml:space="preserve">Distributor Diesel</t>
  </si>
  <si>
    <t xml:space="preserve">https://distributordiesel.com/product/mesin-diesel-35-hp-jiangdong-jd-330-d</t>
  </si>
  <si>
    <t xml:space="preserve">Situs distributor — cek harga terkini langsung.</t>
  </si>
  <si>
    <t xml:space="preserve">JD330 35PK Jiangdong (tanpa tangki)</t>
  </si>
  <si>
    <t xml:space="preserve">Tokopedia — Cetamin</t>
  </si>
  <si>
    <t xml:space="preserve">https://www.tokopedia.com/cetamin/mesin-diesel-jd330-jd-330-35pk-35hp-jiangdong-tanpa-tanki</t>
  </si>
  <si>
    <t xml:space="preserve">Toko online lain pembanding.</t>
  </si>
  <si>
    <t xml:space="preserve">JD330 35PK + hopper starter (paket Blibli)</t>
  </si>
  <si>
    <t xml:space="preserve">Blibli</t>
  </si>
  <si>
    <t xml:space="preserve">https://www.blibli.com/p/mesin-penggerak-jd-330-d-jiangdong-35-hp-diesel-hopper-starter-35-pk/ps--SUG-70033-00409</t>
  </si>
  <si>
    <t xml:space="preserve">Paket lengkap distributor online.</t>
  </si>
  <si>
    <t xml:space="preserve">Komponen instalasi pompa: pipa hisap/lepas + fitting + kaki vakum</t>
  </si>
  <si>
    <t xml:space="preserve">Scribd — Analisa Pekerjaan Sumur Bor</t>
  </si>
  <si>
    <t xml:space="preserve">Struktur komponen pembanding; upah instalasi = estimasi internal berbasis upah lokal Tebo.</t>
  </si>
  <si>
    <t xml:space="preserve">Set pompa submersible 4" 5,5HP 4kW: Rp 6.100.000–10.380.000</t>
  </si>
  <si>
    <t xml:space="preserve">Tokopedia — pompa submersible 4 inch 5.5hp</t>
  </si>
  <si>
    <t xml:space="preserve">https://www.tokopedia.com/find/pompa-submersible-4-inch-5-5hp</t>
  </si>
  <si>
    <t xml:space="preserve">RAB Rp 5jt (paket lengkap) — sedikit di bawah kisaran set lengkap 2025/2026.</t>
  </si>
  <si>
    <t xml:space="preserve">Body submersible 4" + 8 kipas stainless: Rp 3.003.000</t>
  </si>
  <si>
    <t xml:space="preserve">https://www.blibli.com</t>
  </si>
  <si>
    <t xml:space="preserve">Unit body saja (tanpa motor/kabel lengkap).</t>
  </si>
  <si>
    <t xml:space="preserve">Submersible 4" impor (Pedrollo dll): hingga Rp 23.350.000</t>
  </si>
  <si>
    <t xml:space="preserve">Kelas impor premium sebagai batas atas kisaran.</t>
  </si>
  <si>
    <t xml:space="preserve">Kabel NYM 2×4 mm SNI: Rp 23.000–27.000/m (eceran)</t>
  </si>
  <si>
    <t xml:space="preserve">Lazada — kabel NYM 2x4 meteran</t>
  </si>
  <si>
    <t xml:space="preserve">https://www.lazada.co.id/catalog/?q=kabel%20nym%202x4%20meteran</t>
  </si>
  <si>
    <t xml:space="preserve">RAB Rp 8rb/m JAUH di bawah harga kabel tembaga SNI — kandidat koreksi.</t>
  </si>
  <si>
    <t xml:space="preserve">Roll Eterna NYM 2×4 50 m Rp 1.258.427 (± Rp 25.200/m)</t>
  </si>
  <si>
    <t xml:space="preserve">Juragan Material</t>
  </si>
  <si>
    <t xml:space="preserve">Konfirmasi harga per meter beli roll.</t>
  </si>
  <si>
    <t xml:space="preserve">Upah pemasangan pompa submersible = upah teknisi lokal</t>
  </si>
  <si>
    <t xml:space="preserve">Estimasi internal; item bernilai kecil (&lt; Rp 500rb).</t>
  </si>
  <si>
    <t xml:space="preserve">L01_Lestari | Poktan Lestari | Teluk Singkawang</t>
  </si>
  <si>
    <t xml:space="preserve">Lokasi</t>
  </si>
  <si>
    <t xml:space="preserve">Teluk Singkawang, Kec. Sumay, Kab. Tebo, Prov. Jambi</t>
  </si>
  <si>
    <t xml:space="preserve">Poktan</t>
  </si>
  <si>
    <t xml:space="preserve">Poktan Lestari</t>
  </si>
  <si>
    <t xml:space="preserve">Pompa Diesel JD 330 35 HP + Rumah Pompa</t>
  </si>
  <si>
    <t xml:space="preserve">Kedalaman Sumur</t>
  </si>
  <si>
    <t xml:space="preserve">40 (asumsi standar DAK) m</t>
  </si>
  <si>
    <t xml:space="preserve">Anggaran Maksimal</t>
  </si>
  <si>
    <t xml:space="preserve">HSP Kab. Tebo / DPU Jambi (estimasi 2024-2025), all-in (inc. OVW &amp; profit)</t>
  </si>
  <si>
    <t xml:space="preserve">Kelompok 1: PEKERJAAN PENGEORAN SUMUR</t>
  </si>
  <si>
    <t xml:space="preserve">Uraian Pekerjaan</t>
  </si>
  <si>
    <t xml:space="preserve">Vol. (Gambar)</t>
  </si>
  <si>
    <t xml:space="preserve">Vol. (Pelaksanaan)</t>
  </si>
  <si>
    <t xml:space="preserve">Jumlah Harga (Rp)</t>
  </si>
  <si>
    <t xml:space="preserve">1.</t>
  </si>
  <si>
    <t xml:space="preserve">PEKERJAAN PENGEORAN SUMUR</t>
  </si>
  <si>
    <t xml:space="preserve">1.1.</t>
  </si>
  <si>
    <t xml:space="preserve">1.2.</t>
  </si>
  <si>
    <t xml:space="preserve">1.3.</t>
  </si>
  <si>
    <t xml:space="preserve">1.4.</t>
  </si>
  <si>
    <t xml:space="preserve">1.5.</t>
  </si>
  <si>
    <t xml:space="preserve">SUB-TOTAL PENGEORAN SUMUR</t>
  </si>
  <si>
    <t xml:space="preserve">Kelompok 2: PEKERJAAN PENGECORAN STRUKTUR BETON &amp; RANGKA PANEL</t>
  </si>
  <si>
    <t xml:space="preserve">2.</t>
  </si>
  <si>
    <t xml:space="preserve">PEKERJAAN PENGECORAN STRUKTUR BETON &amp; RANGKA PANEL</t>
  </si>
  <si>
    <t xml:space="preserve">2.1.</t>
  </si>
  <si>
    <t xml:space="preserve">SUB-TOTAL PENGECORAN &amp; RANGKA PANEL</t>
  </si>
  <si>
    <t xml:space="preserve">Kelompok 3: DIESEL / PLN PUMP SUBMERSIBLE</t>
  </si>
  <si>
    <t xml:space="preserve">3.</t>
  </si>
  <si>
    <t xml:space="preserve">DIESEL / PLN PUMP SUBMERSIBLE</t>
  </si>
  <si>
    <t xml:space="preserve">3.1.</t>
  </si>
  <si>
    <t xml:space="preserve">3.2.</t>
  </si>
  <si>
    <t xml:space="preserve">SUB-TOTAL DIESEL/PLN PUMP SUBMERSIBLE</t>
  </si>
  <si>
    <t xml:space="preserve">OVERHEAD (LUMP SUM ALL-IN)</t>
  </si>
  <si>
    <t xml:space="preserve">TOTAL PEKERJAAN</t>
  </si>
  <si>
    <t xml:space="preserve">ANGGARAN MAKSIMAL</t>
  </si>
  <si>
    <t xml:space="preserve">SELISIH (Total - Anggaran Maks)</t>
  </si>
  <si>
    <t xml:space="preserve">STATUS</t>
  </si>
  <si>
    <t xml:space="preserve">L02_TriMakmur | Poktan Tri Makmur | Teluk Rendah Ilir</t>
  </si>
  <si>
    <t xml:space="preserve">Teluk Rendah Ilir, Kec. Tebo Ilir, Kab. Tebo, Prov. Jambi</t>
  </si>
  <si>
    <t xml:space="preserve">Poktan Tri Makmur</t>
  </si>
  <si>
    <t xml:space="preserve">Hybrid Tenaga Surya (Pompa 2 HP + 5 Panel 550Wp + Rangka Galvanis/Hollow)</t>
  </si>
  <si>
    <t xml:space="preserve">40 m</t>
  </si>
  <si>
    <t xml:space="preserve">2.2.</t>
  </si>
  <si>
    <t xml:space="preserve">2.3.</t>
  </si>
  <si>
    <t xml:space="preserve">2.4.</t>
  </si>
  <si>
    <t xml:space="preserve">2.5.</t>
  </si>
  <si>
    <t xml:space="preserve">2.6.</t>
  </si>
  <si>
    <t xml:space="preserve">2.7.</t>
  </si>
  <si>
    <t xml:space="preserve">Kelompok 3: SOLAR PUMP SUBMERSIBLE</t>
  </si>
  <si>
    <t xml:space="preserve">SOLAR PUMP SUBMERSIBLE</t>
  </si>
  <si>
    <t xml:space="preserve">3.3.</t>
  </si>
  <si>
    <t xml:space="preserve">3.4.</t>
  </si>
  <si>
    <t xml:space="preserve">SUB-TOTAL SOLAR PUMP SUBMERSIBLE</t>
  </si>
  <si>
    <t xml:space="preserve">L03_Sepakat | Poktan Sepakat | Teluk Rendah Ilir</t>
  </si>
  <si>
    <t xml:space="preserve">Poktan Sepakat</t>
  </si>
  <si>
    <t xml:space="preserve">Pompa Submersible 4" 5,5 HP + Instalasi Listrik PLN/Genset</t>
  </si>
  <si>
    <t xml:space="preserve">L04_HarapanMakmur | Poktan Harapan Makmur | Tuo Ilir</t>
  </si>
  <si>
    <t xml:space="preserve">Tuo Ilir, Kec. Tebo Ilir, Kab. Tebo, Prov. Jambi</t>
  </si>
  <si>
    <t xml:space="preserve">Poktan Harapan Makmur</t>
  </si>
  <si>
    <t xml:space="preserve">25 m</t>
  </si>
  <si>
    <t xml:space="preserve">L05a_DianBelato | Poktan Dian Belato (Paket 1) | Teluk Rendah Pasar</t>
  </si>
  <si>
    <t xml:space="preserve">Teluk Rendah Pasar, Kec. Tebo Ilir, Kab. Tebo, Prov. Jambi</t>
  </si>
  <si>
    <t xml:space="preserve">Poktan Dian Belato (Paket 1)</t>
  </si>
  <si>
    <t xml:space="preserve">L05b_DianBelato | Poktan Dian Belato (Paket 2) | Teluk Rendah Pasar</t>
  </si>
  <si>
    <t xml:space="preserve">Poktan Dian Belato (Paket 2)</t>
  </si>
  <si>
    <t xml:space="preserve">L06_PayoLebar | Poktan Payo Lebar | Kuamang</t>
  </si>
  <si>
    <t xml:space="preserve">Kuamang, Kec. VII Koto, Kab. Tebo, Prov. Jambi</t>
  </si>
  <si>
    <t xml:space="preserve">Poktan Payo Lebar</t>
  </si>
  <si>
    <t xml:space="preserve">L07_PudingMas | Poktan Puding Mas | Pagar Puding Lamo</t>
  </si>
  <si>
    <t xml:space="preserve">Pagar Puding Lamo, Kec. Serai Serumpun, Kab. Tebo, Prov. Jambi</t>
  </si>
  <si>
    <t xml:space="preserve">Poktan Puding Mas</t>
  </si>
  <si>
    <t xml:space="preserve">34 m</t>
  </si>
  <si>
    <t xml:space="preserve">L08a_TanjungAur | Poktan Tanjung Aur Indah (Paket 1) | Tanjung Aur Seberang</t>
  </si>
  <si>
    <t xml:space="preserve">Tanjung Aur Seberang, Kec. Serai Serumpun, Kab. Tebo, Prov. Jambi</t>
  </si>
  <si>
    <t xml:space="preserve">Poktan Tanjung Aur Indah (Paket 1)</t>
  </si>
  <si>
    <t xml:space="preserve">45 m</t>
  </si>
  <si>
    <t xml:space="preserve">L08b_TanjungAur | Poktan Tanjung Aur Indah (Paket 2) | Tanjung Aur Seberang</t>
  </si>
  <si>
    <t xml:space="preserve">Poktan Tanjung Aur Indah (Paket 2)</t>
  </si>
  <si>
    <t xml:space="preserve">L08c_TanjungAur | Poktan Tanjung Aur Indah (Paket 3) | Tanjung Aur Seberang</t>
  </si>
  <si>
    <t xml:space="preserve">Poktan Tanjung Aur Indah (Paket 3)</t>
  </si>
  <si>
    <t xml:space="preserve">L09_BerkatMulia | Poktan Berkat Mulia | Pagar Puding</t>
  </si>
  <si>
    <t xml:space="preserve">Pagar Puding, Kec. Tebo Ulu, Kab. Tebo, Prov. Jambi</t>
  </si>
  <si>
    <t xml:space="preserve">Poktan Berkat Mulia</t>
  </si>
  <si>
    <t xml:space="preserve">42 m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</si>
</sst>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&quot;Rp&quot;#,##0;&quot;(Rp&quot;#,##0\);\-"/>
    <numFmt numFmtId="166" formatCode="@"/>
    <numFmt numFmtId="167" formatCode="&quot;Rp&quot;#,##0;&quot;(Rp&quot;#,##0\)"/>
    <numFmt numFmtId="168" formatCode="#,##0.00"/>
  </numFmts>
  <fonts count="14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rgb="FF1B2A4A"/>
      <name val="Noto Sans"/>
      <family val="0"/>
      <charset val="1"/>
    </font>
    <font>
      <sz val="10"/>
      <color rgb="FF1B2A4A"/>
      <name val="Noto Sans"/>
      <family val="0"/>
      <charset val="1"/>
    </font>
    <font>
      <sz val="11"/>
      <color rgb="FF37352F"/>
      <name val="Noto Sans"/>
      <family val="0"/>
      <charset val="1"/>
    </font>
    <font>
      <sz val="12"/>
      <color rgb="FF1B2A4A"/>
      <name val="Noto Sans"/>
      <family val="0"/>
      <charset val="1"/>
    </font>
    <font>
      <sz val="11"/>
      <color rgb="FFFFFFFF"/>
      <name val="Noto Sans"/>
      <family val="0"/>
      <charset val="1"/>
    </font>
    <font>
      <sz val="11"/>
      <color rgb="FF1B2A4A"/>
      <name val="Noto Sans"/>
      <family val="0"/>
      <charset val="1"/>
    </font>
    <font>
      <sz val="10"/>
      <color rgb="FF8C8A84"/>
      <name val="Noto Sans"/>
      <family val="0"/>
      <charset val="1"/>
    </font>
    <font>
      <sz val="9"/>
      <color rgb="FF8C8A84"/>
      <name val="Noto Sans"/>
      <family val="0"/>
      <charset val="1"/>
    </font>
    <font>
      <u val="single"/>
      <sz val="10"/>
      <color rgb="FF1B7D46"/>
      <name val="Noto Sans"/>
      <family val="0"/>
      <charset val="1"/>
    </font>
    <font>
      <sz val="12"/>
      <color rgb="FF1B7D46"/>
      <name val="Noto Sans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B2A4A"/>
        <bgColor rgb="FF37352F"/>
      </patternFill>
    </fill>
    <fill>
      <patternFill patternType="solid">
        <fgColor rgb="FFFFFFFF"/>
        <bgColor rgb="FFF7F7F5"/>
      </patternFill>
    </fill>
    <fill>
      <patternFill patternType="solid">
        <fgColor rgb="FFD6E4F0"/>
        <bgColor rgb="FFE9E9E8"/>
      </patternFill>
    </fill>
    <fill>
      <patternFill patternType="solid">
        <fgColor rgb="FFF7F7F5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9E9E8"/>
      </bottom>
      <diagonal/>
    </border>
    <border diagonalUp="false" diagonalDown="false">
      <left/>
      <right/>
      <top style="medium">
        <color rgb="FFE9E9E8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3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9" fillId="4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6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9" fillId="5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5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7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5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3" fillId="4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9" fillId="5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5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Noto Sans"/>
        <charset val="1"/>
        <family val="0"/>
        <b val="1"/>
        <color rgb="FFFFFFFF"/>
        <sz val="11"/>
      </font>
      <fill>
        <patternFill>
          <bgColor rgb="FF1B7D46"/>
        </patternFill>
      </fill>
    </dxf>
    <dxf>
      <font>
        <name val="Noto Sans"/>
        <charset val="1"/>
        <family val="0"/>
        <b val="1"/>
        <color rgb="FFFFFFFF"/>
        <sz val="11"/>
      </font>
      <fill>
        <patternFill>
          <bgColor rgb="FFC0392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B7D46"/>
      <rgbColor rgb="FFC0C0C0"/>
      <rgbColor rgb="FF8C8A84"/>
      <rgbColor rgb="FF9999FF"/>
      <rgbColor rgb="FF993366"/>
      <rgbColor rgb="FFF7F7F5"/>
      <rgbColor rgb="FFE9E9E8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C55A11"/>
      <rgbColor rgb="FF666699"/>
      <rgbColor rgb="FF969696"/>
      <rgbColor rgb="FF1B2A4A"/>
      <rgbColor rgb="FF339966"/>
      <rgbColor rgb="FF003300"/>
      <rgbColor rgb="FF333300"/>
      <rgbColor rgb="FFC0392B"/>
      <rgbColor rgb="FF993366"/>
      <rgbColor rgb="FF333399"/>
      <rgbColor rgb="FF3735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jdih.tebokab.go.id/" TargetMode="External"/><Relationship Id="rId2" Type="http://schemas.openxmlformats.org/officeDocument/2006/relationships/hyperlink" Target="https://peraturan.bpk.go.id/" TargetMode="External"/><Relationship Id="rId3" Type="http://schemas.openxmlformats.org/officeDocument/2006/relationships/hyperlink" Target="https://pasal.id/" TargetMode="External"/><Relationship Id="rId4" Type="http://schemas.openxmlformats.org/officeDocument/2006/relationships/hyperlink" Target="https://binakonstruksi.pu.go.id/" TargetMode="External"/><Relationship Id="rId5" Type="http://schemas.openxmlformats.org/officeDocument/2006/relationships/hyperlink" Target="https://id.scribd.com/" TargetMode="External"/><Relationship Id="rId6" Type="http://schemas.openxmlformats.org/officeDocument/2006/relationships/hyperlink" Target="https://id.scribd.com/" TargetMode="External"/><Relationship Id="rId7" Type="http://schemas.openxmlformats.org/officeDocument/2006/relationships/hyperlink" Target="https://www.lamudi.co.id/" TargetMode="External"/><Relationship Id="rId8" Type="http://schemas.openxmlformats.org/officeDocument/2006/relationships/hyperlink" Target="https://tedmondgroups.co.id/" TargetMode="External"/><Relationship Id="rId9" Type="http://schemas.openxmlformats.org/officeDocument/2006/relationships/hyperlink" Target="https://www.klopmart.com/" TargetMode="External"/><Relationship Id="rId10" Type="http://schemas.openxmlformats.org/officeDocument/2006/relationships/hyperlink" Target="https://juraganmaterial.id/" TargetMode="External"/><Relationship Id="rId11" Type="http://schemas.openxmlformats.org/officeDocument/2006/relationships/hyperlink" Target="https://www.rucika.co.id/" TargetMode="External"/><Relationship Id="rId12" Type="http://schemas.openxmlformats.org/officeDocument/2006/relationships/hyperlink" Target="https://shopee.co.id/search?keyword=pipa%20pvc%20aw%202%20inch%204%20meter" TargetMode="External"/><Relationship Id="rId13" Type="http://schemas.openxmlformats.org/officeDocument/2006/relationships/hyperlink" Target="https://katalog.inaproc.id/" TargetMode="External"/><Relationship Id="rId14" Type="http://schemas.openxmlformats.org/officeDocument/2006/relationships/hyperlink" Target="https://www.aquatechindonesia.net/product/silika-sand-dan-silika-gravel/" TargetMode="External"/><Relationship Id="rId15" Type="http://schemas.openxmlformats.org/officeDocument/2006/relationships/hyperlink" Target="https://shopee.co.id/Silika-Gravel-Silica-Gravel-50-kg-1-karung-1-bag-1-sak-1-zak-i.968575546.21987290207" TargetMode="External"/><Relationship Id="rId16" Type="http://schemas.openxmlformats.org/officeDocument/2006/relationships/hyperlink" Target="https://www.detik.com/properti/berita/d-7632414/harga-semen-termurah-hingga-termahal-per-sak-2024" TargetMode="External"/><Relationship Id="rId17" Type="http://schemas.openxmlformats.org/officeDocument/2006/relationships/hyperlink" Target="https://id.scribd.com/document/374720070/Semen-Tiga-Roda-50kg" TargetMode="External"/><Relationship Id="rId18" Type="http://schemas.openxmlformats.org/officeDocument/2006/relationships/hyperlink" Target="https://www.lamudi.co.id/" TargetMode="External"/><Relationship Id="rId19" Type="http://schemas.openxmlformats.org/officeDocument/2006/relationships/hyperlink" Target="https://www.klopmart.com/" TargetMode="External"/><Relationship Id="rId20" Type="http://schemas.openxmlformats.org/officeDocument/2006/relationships/hyperlink" Target="https://www.detik.com/" TargetMode="External"/><Relationship Id="rId21" Type="http://schemas.openxmlformats.org/officeDocument/2006/relationships/hyperlink" Target="https://www.lamudi.co.id/" TargetMode="External"/><Relationship Id="rId22" Type="http://schemas.openxmlformats.org/officeDocument/2006/relationships/hyperlink" Target="https://www.brighton.co.id/about/articles-all/harga-borongan-cor-beton-manual-untuk-proyek-konstruksi" TargetMode="External"/><Relationship Id="rId23" Type="http://schemas.openxmlformats.org/officeDocument/2006/relationships/hyperlink" Target="https://www.medcom.id/properti/news-properti/zNPl0RWN-kisaran-upah-jasa-cor-beton-2024" TargetMode="External"/><Relationship Id="rId24" Type="http://schemas.openxmlformats.org/officeDocument/2006/relationships/hyperlink" Target="https://www.99.co/" TargetMode="External"/><Relationship Id="rId25" Type="http://schemas.openxmlformats.org/officeDocument/2006/relationships/hyperlink" Target="https://id.scribd.com/" TargetMode="External"/><Relationship Id="rId26" Type="http://schemas.openxmlformats.org/officeDocument/2006/relationships/hyperlink" Target="https://www.detik.com/" TargetMode="External"/><Relationship Id="rId27" Type="http://schemas.openxmlformats.org/officeDocument/2006/relationships/hyperlink" Target="https://jayawan.com/" TargetMode="External"/><Relationship Id="rId28" Type="http://schemas.openxmlformats.org/officeDocument/2006/relationships/hyperlink" Target="https://www.tokopedia.com/find/batu-kali-pondasi" TargetMode="External"/><Relationship Id="rId29" Type="http://schemas.openxmlformats.org/officeDocument/2006/relationships/hyperlink" Target="https://www.pinhome.id/" TargetMode="External"/><Relationship Id="rId30" Type="http://schemas.openxmlformats.org/officeDocument/2006/relationships/hyperlink" Target="https://www.brighton.co.id/" TargetMode="External"/><Relationship Id="rId31" Type="http://schemas.openxmlformats.org/officeDocument/2006/relationships/hyperlink" Target="https://www.99.co/id/panduan/harga-borongan-cor-beton" TargetMode="External"/><Relationship Id="rId32" Type="http://schemas.openxmlformats.org/officeDocument/2006/relationships/hyperlink" Target="https://readymix.co.id/produk/jasa-borong-gelar-beton" TargetMode="External"/><Relationship Id="rId33" Type="http://schemas.openxmlformats.org/officeDocument/2006/relationships/hyperlink" Target="https://www.niagareadymix.com/2022/06/harga-borongan-cor-beton-jalan.html" TargetMode="External"/><Relationship Id="rId34" Type="http://schemas.openxmlformats.org/officeDocument/2006/relationships/hyperlink" Target="https://www.tokopedia.com/find/hollow-galvanis" TargetMode="External"/><Relationship Id="rId35" Type="http://schemas.openxmlformats.org/officeDocument/2006/relationships/hyperlink" Target="https://www.smsperkasa.com/" TargetMode="External"/><Relationship Id="rId36" Type="http://schemas.openxmlformats.org/officeDocument/2006/relationships/hyperlink" Target="https://shopee.co.id/search?keyword=pompa%20satelit%203%20inch%202%20hp" TargetMode="External"/><Relationship Id="rId37" Type="http://schemas.openxmlformats.org/officeDocument/2006/relationships/hyperlink" Target="https://sentralpompa.com/" TargetMode="External"/><Relationship Id="rId38" Type="http://schemas.openxmlformats.org/officeDocument/2006/relationships/hyperlink" Target="https://www.tokopedia.com/find/inverter-solar-pump" TargetMode="External"/><Relationship Id="rId39" Type="http://schemas.openxmlformats.org/officeDocument/2006/relationships/hyperlink" Target="https://www.tokopedia.com/find/lifepo4-24v-100ah" TargetMode="External"/><Relationship Id="rId40" Type="http://schemas.openxmlformats.org/officeDocument/2006/relationships/hyperlink" Target="https://www.inverter.com/" TargetMode="External"/><Relationship Id="rId41" Type="http://schemas.openxmlformats.org/officeDocument/2006/relationships/hyperlink" Target="https://id.scribd.com/" TargetMode="External"/><Relationship Id="rId42" Type="http://schemas.openxmlformats.org/officeDocument/2006/relationships/hyperlink" Target="https://www.tokopedia.com/find/solar-panel-550wp" TargetMode="External"/><Relationship Id="rId43" Type="http://schemas.openxmlformats.org/officeDocument/2006/relationships/hyperlink" Target="https://shopee.co.id/Solar-Panel-Surya-PV-550WP-Mono-Ber-SNI-550wp-Monocrystalline-SNI-i.378242829.22052287764" TargetMode="External"/><Relationship Id="rId44" Type="http://schemas.openxmlformats.org/officeDocument/2006/relationships/hyperlink" Target="https://padiumkm.id/product/ae-solar-cell-panel-surya-550wp-sni-mono-type-md-144/6749c8c1a1ee7efbffa3db0b" TargetMode="External"/><Relationship Id="rId45" Type="http://schemas.openxmlformats.org/officeDocument/2006/relationships/hyperlink" Target="https://solarsuryaindotama.co.id/katalog-produk/module-solar-panel/solar-pv-lesso-hpm-series-550wp-monocystalline" TargetMode="External"/><Relationship Id="rId46" Type="http://schemas.openxmlformats.org/officeDocument/2006/relationships/hyperlink" Target="https://binakonstruksi.pu.go.id/" TargetMode="External"/><Relationship Id="rId47" Type="http://schemas.openxmlformats.org/officeDocument/2006/relationships/hyperlink" Target="https://www.lazada.co.id/tag/mesin-diesel-jd-330" TargetMode="External"/><Relationship Id="rId48" Type="http://schemas.openxmlformats.org/officeDocument/2006/relationships/hyperlink" Target="https://shopee.co.id/MESIN-DIESEL-JD330-35HP-JIANGDONG-i.123248750.4255848393" TargetMode="External"/><Relationship Id="rId49" Type="http://schemas.openxmlformats.org/officeDocument/2006/relationships/hyperlink" Target="https://distributordiesel.com/product/mesin-diesel-35-hp-jiangdong-jd-330-d" TargetMode="External"/><Relationship Id="rId50" Type="http://schemas.openxmlformats.org/officeDocument/2006/relationships/hyperlink" Target="https://www.tokopedia.com/cetamin/mesin-diesel-jd330-jd-330-35pk-35hp-jiangdong-tanpa-tanki" TargetMode="External"/><Relationship Id="rId51" Type="http://schemas.openxmlformats.org/officeDocument/2006/relationships/hyperlink" Target="https://www.blibli.com/p/mesin-penggerak-jd-330-d-jiangdong-35-hp-diesel-hopper-starter-35-pk/ps--SUG-70033-00409" TargetMode="External"/><Relationship Id="rId52" Type="http://schemas.openxmlformats.org/officeDocument/2006/relationships/hyperlink" Target="https://id.scribd.com/" TargetMode="External"/><Relationship Id="rId53" Type="http://schemas.openxmlformats.org/officeDocument/2006/relationships/hyperlink" Target="https://www.tokopedia.com/find/pompa-submersible-4-inch-5-5hp" TargetMode="External"/><Relationship Id="rId54" Type="http://schemas.openxmlformats.org/officeDocument/2006/relationships/hyperlink" Target="https://www.blibli.com/" TargetMode="External"/><Relationship Id="rId55" Type="http://schemas.openxmlformats.org/officeDocument/2006/relationships/hyperlink" Target="https://sentralpompa.com/" TargetMode="External"/><Relationship Id="rId56" Type="http://schemas.openxmlformats.org/officeDocument/2006/relationships/hyperlink" Target="https://www.lazada.co.id/catalog/?q=kabel%20nym%202x4%20meteran" TargetMode="External"/><Relationship Id="rId57" Type="http://schemas.openxmlformats.org/officeDocument/2006/relationships/hyperlink" Target="https://juraganmaterial.id/" TargetMode="External"/><Relationship Id="rId58" Type="http://schemas.openxmlformats.org/officeDocument/2006/relationships/hyperlink" Target="https://id.scribd.com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6"/>
    <col collapsed="false" customWidth="true" hidden="false" outlineLevel="0" max="3" min="3" style="1" width="44"/>
    <col collapsed="false" customWidth="true" hidden="false" outlineLevel="0" max="4" min="4" style="1" width="18"/>
    <col collapsed="false" customWidth="true" hidden="false" outlineLevel="0" max="5" min="5" style="1" width="7"/>
    <col collapsed="false" customWidth="true" hidden="false" outlineLevel="0" max="6" min="6" style="1" width="16"/>
    <col collapsed="false" customWidth="true" hidden="false" outlineLevel="0" max="7" min="7" style="1" width="17"/>
    <col collapsed="false" customWidth="true" hidden="false" outlineLevel="0" max="8" min="8" style="1" width="15"/>
    <col collapsed="false" customWidth="true" hidden="false" outlineLevel="0" max="10" min="9" style="1" width="17"/>
    <col collapsed="false" customWidth="true" hidden="false" outlineLevel="0" max="12" min="11" style="1" width="16"/>
    <col collapsed="false" customWidth="true" hidden="false" outlineLevel="0" max="26" min="13" style="1" width="10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9.7" hidden="false" customHeight="false" outlineLevel="0" collapsed="false">
      <c r="A2" s="2"/>
      <c r="B2" s="3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true" outlineLevel="0" collapsed="false">
      <c r="A4" s="2"/>
      <c r="B4" s="4" t="s">
        <v>1</v>
      </c>
      <c r="C4" s="5" t="s">
        <v>2</v>
      </c>
      <c r="D4" s="5"/>
      <c r="E4" s="5"/>
      <c r="F4" s="5"/>
      <c r="G4" s="5"/>
      <c r="H4" s="5"/>
      <c r="I4" s="5"/>
      <c r="J4" s="5"/>
      <c r="K4" s="5"/>
      <c r="L4" s="5"/>
      <c r="M4" s="5"/>
    </row>
    <row r="5" customFormat="false" ht="15" hidden="false" customHeight="true" outlineLevel="0" collapsed="false">
      <c r="A5" s="2"/>
      <c r="B5" s="4" t="s">
        <v>3</v>
      </c>
      <c r="C5" s="5" t="s">
        <v>4</v>
      </c>
      <c r="D5" s="5"/>
      <c r="E5" s="5"/>
      <c r="F5" s="5"/>
      <c r="G5" s="5"/>
      <c r="H5" s="5"/>
      <c r="I5" s="5"/>
      <c r="J5" s="5"/>
      <c r="K5" s="5"/>
      <c r="L5" s="5"/>
      <c r="M5" s="5"/>
    </row>
    <row r="6" customFormat="false" ht="15" hidden="false" customHeight="true" outlineLevel="0" collapsed="false">
      <c r="A6" s="2"/>
      <c r="B6" s="4" t="s">
        <v>5</v>
      </c>
      <c r="C6" s="5" t="s">
        <v>6</v>
      </c>
      <c r="D6" s="5"/>
      <c r="E6" s="5"/>
      <c r="F6" s="5"/>
      <c r="G6" s="5"/>
      <c r="H6" s="5"/>
      <c r="I6" s="5"/>
      <c r="J6" s="5"/>
      <c r="K6" s="5"/>
      <c r="L6" s="5"/>
      <c r="M6" s="5"/>
    </row>
    <row r="7" customFormat="false" ht="15" hidden="false" customHeight="true" outlineLevel="0" collapsed="false">
      <c r="A7" s="2"/>
      <c r="B7" s="4" t="s">
        <v>7</v>
      </c>
      <c r="C7" s="5" t="s">
        <v>8</v>
      </c>
      <c r="D7" s="5"/>
      <c r="E7" s="5"/>
      <c r="F7" s="5"/>
      <c r="G7" s="5"/>
      <c r="H7" s="5"/>
      <c r="I7" s="5"/>
      <c r="J7" s="5"/>
      <c r="K7" s="5"/>
      <c r="L7" s="5"/>
      <c r="M7" s="5"/>
    </row>
    <row r="8" customFormat="false" ht="15" hidden="false" customHeight="true" outlineLevel="0" collapsed="false">
      <c r="A8" s="2"/>
      <c r="B8" s="4" t="s">
        <v>9</v>
      </c>
      <c r="C8" s="5" t="s">
        <v>10</v>
      </c>
      <c r="D8" s="5"/>
      <c r="E8" s="5"/>
      <c r="F8" s="5"/>
      <c r="G8" s="5"/>
      <c r="H8" s="5"/>
      <c r="I8" s="5"/>
      <c r="J8" s="5"/>
      <c r="K8" s="5"/>
      <c r="L8" s="5"/>
      <c r="M8" s="5"/>
    </row>
    <row r="9" customFormat="false" ht="15" hidden="false" customHeight="true" outlineLevel="0" collapsed="false">
      <c r="A9" s="2"/>
      <c r="B9" s="4" t="s">
        <v>11</v>
      </c>
      <c r="C9" s="5" t="s">
        <v>12</v>
      </c>
      <c r="D9" s="5"/>
      <c r="E9" s="5"/>
      <c r="F9" s="5"/>
      <c r="G9" s="5"/>
      <c r="H9" s="5"/>
      <c r="I9" s="5"/>
      <c r="J9" s="5"/>
      <c r="K9" s="5"/>
      <c r="L9" s="5"/>
      <c r="M9" s="5"/>
    </row>
    <row r="10" customFormat="false" ht="15" hidden="false" customHeight="true" outlineLevel="0" collapsed="false">
      <c r="A10" s="2"/>
      <c r="B10" s="4" t="s">
        <v>13</v>
      </c>
      <c r="C10" s="5" t="s">
        <v>14</v>
      </c>
      <c r="D10" s="5"/>
      <c r="E10" s="5"/>
      <c r="F10" s="5"/>
      <c r="G10" s="5"/>
      <c r="H10" s="5"/>
      <c r="I10" s="5"/>
      <c r="J10" s="5"/>
      <c r="K10" s="5"/>
      <c r="L10" s="5"/>
      <c r="M10" s="5"/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customFormat="false" ht="15" hidden="false" customHeight="false" outlineLevel="0" collapsed="false">
      <c r="A13" s="2"/>
      <c r="B13" s="6" t="s">
        <v>15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</row>
    <row r="14" customFormat="false" ht="42" hidden="false" customHeight="true" outlineLevel="0" collapsed="false">
      <c r="A14" s="2"/>
      <c r="B14" s="7" t="s">
        <v>16</v>
      </c>
      <c r="C14" s="7" t="s">
        <v>17</v>
      </c>
      <c r="D14" s="7" t="s">
        <v>18</v>
      </c>
      <c r="E14" s="7" t="s">
        <v>19</v>
      </c>
      <c r="F14" s="7" t="s">
        <v>20</v>
      </c>
      <c r="G14" s="7" t="s">
        <v>21</v>
      </c>
      <c r="H14" s="7" t="s">
        <v>22</v>
      </c>
      <c r="I14" s="7" t="s">
        <v>23</v>
      </c>
      <c r="J14" s="7" t="s">
        <v>24</v>
      </c>
      <c r="K14" s="7" t="s">
        <v>25</v>
      </c>
      <c r="L14" s="7" t="s">
        <v>26</v>
      </c>
      <c r="M14" s="7" t="s">
        <v>27</v>
      </c>
    </row>
    <row r="15" customFormat="false" ht="21.75" hidden="false" customHeight="true" outlineLevel="0" collapsed="false">
      <c r="A15" s="2"/>
      <c r="B15" s="7" t="s">
        <v>28</v>
      </c>
      <c r="C15" s="7" t="s">
        <v>29</v>
      </c>
      <c r="D15" s="7" t="s">
        <v>30</v>
      </c>
      <c r="E15" s="7" t="n">
        <v>1</v>
      </c>
      <c r="F15" s="8" t="n">
        <f aca="false">L01_Lestari!H20</f>
        <v>24000000</v>
      </c>
      <c r="G15" s="8" t="n">
        <f aca="false">L01_Lestari!H25</f>
        <v>100000</v>
      </c>
      <c r="H15" s="8" t="n">
        <v>0</v>
      </c>
      <c r="I15" s="8" t="n">
        <f aca="false">L01_Lestari!H31</f>
        <v>14000000</v>
      </c>
      <c r="J15" s="8" t="n">
        <f aca="false">L01_Lestari!H33</f>
        <v>41025000</v>
      </c>
      <c r="K15" s="8" t="n">
        <v>41025000</v>
      </c>
      <c r="L15" s="8" t="n">
        <f aca="false">L01_Lestari!H32</f>
        <v>2925000</v>
      </c>
      <c r="M15" s="9" t="str">
        <f aca="false">IF(L01_Lestari!$H$32&lt;0,"OVER","OK")</f>
        <v>OK</v>
      </c>
    </row>
    <row r="16" customFormat="false" ht="21.75" hidden="false" customHeight="true" outlineLevel="0" collapsed="false">
      <c r="A16" s="2"/>
      <c r="B16" s="7" t="s">
        <v>31</v>
      </c>
      <c r="C16" s="7" t="s">
        <v>32</v>
      </c>
      <c r="D16" s="7" t="s">
        <v>33</v>
      </c>
      <c r="E16" s="7" t="n">
        <v>1</v>
      </c>
      <c r="F16" s="8" t="n">
        <f aca="false">L02_TriMakmur!H20</f>
        <v>24000000</v>
      </c>
      <c r="G16" s="8" t="n">
        <f aca="false">L02_TriMakmur!H31</f>
        <v>8591325</v>
      </c>
      <c r="H16" s="8" t="n">
        <f aca="false">L02_TriMakmur!H39</f>
        <v>38500000</v>
      </c>
      <c r="I16" s="8" t="n">
        <v>0</v>
      </c>
      <c r="J16" s="8" t="n">
        <f aca="false">L02_TriMakmur!H41</f>
        <v>75519821</v>
      </c>
      <c r="K16" s="8" t="n">
        <v>75519821</v>
      </c>
      <c r="L16" s="8" t="n">
        <f aca="false">L02_TriMakmur!H40</f>
        <v>4428496</v>
      </c>
      <c r="M16" s="9" t="str">
        <f aca="false">IF(L02_TriMakmur!$H$40&lt;0,"OVER","OK")</f>
        <v>OK</v>
      </c>
    </row>
    <row r="17" customFormat="false" ht="21.75" hidden="false" customHeight="true" outlineLevel="0" collapsed="false">
      <c r="A17" s="2"/>
      <c r="B17" s="7" t="s">
        <v>34</v>
      </c>
      <c r="C17" s="7" t="s">
        <v>35</v>
      </c>
      <c r="D17" s="7" t="s">
        <v>36</v>
      </c>
      <c r="E17" s="7" t="n">
        <v>1</v>
      </c>
      <c r="F17" s="8" t="n">
        <f aca="false">L03_Sepakat!H20</f>
        <v>24000000</v>
      </c>
      <c r="G17" s="8" t="n">
        <f aca="false">L03_Sepakat!H25</f>
        <v>100000</v>
      </c>
      <c r="H17" s="8" t="n">
        <v>0</v>
      </c>
      <c r="I17" s="8" t="n">
        <f aca="false">L03_Sepakat!H32</f>
        <v>7000000</v>
      </c>
      <c r="J17" s="8" t="n">
        <f aca="false">L03_Sepakat!H34</f>
        <v>20011142</v>
      </c>
      <c r="K17" s="8" t="n">
        <v>20011142</v>
      </c>
      <c r="L17" s="8" t="n">
        <f aca="false">L03_Sepakat!H33</f>
        <v>-11088858</v>
      </c>
      <c r="M17" s="9" t="str">
        <f aca="false">IF(L03_Sepakat!$H$33&lt;0,"OVER","OK")</f>
        <v>OVER</v>
      </c>
    </row>
    <row r="18" customFormat="false" ht="21.75" hidden="false" customHeight="true" outlineLevel="0" collapsed="false">
      <c r="A18" s="2"/>
      <c r="B18" s="7" t="s">
        <v>37</v>
      </c>
      <c r="C18" s="7" t="s">
        <v>38</v>
      </c>
      <c r="D18" s="7" t="s">
        <v>33</v>
      </c>
      <c r="E18" s="7" t="n">
        <v>1</v>
      </c>
      <c r="F18" s="8" t="n">
        <f aca="false">L04_HarapanMakmur!H20</f>
        <v>15000000</v>
      </c>
      <c r="G18" s="8" t="n">
        <f aca="false">L04_HarapanMakmur!H31</f>
        <v>8591325</v>
      </c>
      <c r="H18" s="8" t="n">
        <f aca="false">L04_HarapanMakmur!H39</f>
        <v>38500000</v>
      </c>
      <c r="I18" s="8" t="n">
        <v>0</v>
      </c>
      <c r="J18" s="8" t="n">
        <f aca="false">L04_HarapanMakmur!H41</f>
        <v>71546115</v>
      </c>
      <c r="K18" s="8" t="n">
        <v>71546115</v>
      </c>
      <c r="L18" s="8" t="n">
        <f aca="false">L04_HarapanMakmur!H40</f>
        <v>9454790</v>
      </c>
      <c r="M18" s="9" t="str">
        <f aca="false">IF(L04_HarapanMakmur!$H$40&lt;0,"OVER","OK")</f>
        <v>OK</v>
      </c>
    </row>
    <row r="19" customFormat="false" ht="21.75" hidden="false" customHeight="true" outlineLevel="0" collapsed="false">
      <c r="A19" s="2"/>
      <c r="B19" s="7" t="s">
        <v>39</v>
      </c>
      <c r="C19" s="7" t="s">
        <v>40</v>
      </c>
      <c r="D19" s="7" t="s">
        <v>33</v>
      </c>
      <c r="E19" s="7" t="n">
        <v>1</v>
      </c>
      <c r="F19" s="8" t="n">
        <f aca="false">L05a_DianBelato!H20</f>
        <v>15000000</v>
      </c>
      <c r="G19" s="8" t="n">
        <f aca="false">L05a_DianBelato!H31</f>
        <v>8591325</v>
      </c>
      <c r="H19" s="8" t="n">
        <f aca="false">L05a_DianBelato!H39</f>
        <v>38500000</v>
      </c>
      <c r="I19" s="8" t="n">
        <v>0</v>
      </c>
      <c r="J19" s="8" t="n">
        <f aca="false">L05a_DianBelato!H41</f>
        <v>116200487</v>
      </c>
      <c r="K19" s="8" t="n">
        <v>116200487</v>
      </c>
      <c r="L19" s="8" t="n">
        <f aca="false">L05a_DianBelato!H40</f>
        <v>54109162</v>
      </c>
      <c r="M19" s="9" t="str">
        <f aca="false">IF(L05a_DianBelato!$H$40&lt;0,"OVER","OK")</f>
        <v>OK</v>
      </c>
    </row>
    <row r="20" customFormat="false" ht="21.75" hidden="false" customHeight="true" outlineLevel="0" collapsed="false">
      <c r="A20" s="2"/>
      <c r="B20" s="7" t="s">
        <v>41</v>
      </c>
      <c r="C20" s="7" t="s">
        <v>42</v>
      </c>
      <c r="D20" s="7" t="s">
        <v>33</v>
      </c>
      <c r="E20" s="7" t="n">
        <v>1</v>
      </c>
      <c r="F20" s="8" t="n">
        <f aca="false">L05b_DianBelato!H20</f>
        <v>15000000</v>
      </c>
      <c r="G20" s="8" t="n">
        <f aca="false">L05b_DianBelato!H31</f>
        <v>8591325</v>
      </c>
      <c r="H20" s="8" t="n">
        <f aca="false">L05b_DianBelato!H39</f>
        <v>38500000</v>
      </c>
      <c r="I20" s="8" t="n">
        <v>0</v>
      </c>
      <c r="J20" s="8" t="n">
        <f aca="false">L05b_DianBelato!H41</f>
        <v>116200487</v>
      </c>
      <c r="K20" s="8" t="n">
        <v>116200487</v>
      </c>
      <c r="L20" s="8" t="n">
        <f aca="false">L05b_DianBelato!H40</f>
        <v>54109162</v>
      </c>
      <c r="M20" s="9" t="str">
        <f aca="false">IF(L05b_DianBelato!$H$40&lt;0,"OVER","OK")</f>
        <v>OK</v>
      </c>
    </row>
    <row r="21" customFormat="false" ht="21.75" hidden="false" customHeight="true" outlineLevel="0" collapsed="false">
      <c r="A21" s="2"/>
      <c r="B21" s="7" t="s">
        <v>43</v>
      </c>
      <c r="C21" s="7" t="s">
        <v>44</v>
      </c>
      <c r="D21" s="7" t="s">
        <v>30</v>
      </c>
      <c r="E21" s="7" t="n">
        <v>1</v>
      </c>
      <c r="F21" s="8" t="n">
        <f aca="false">L06_PayoLebar!H20</f>
        <v>24000000</v>
      </c>
      <c r="G21" s="8" t="n">
        <f aca="false">L06_PayoLebar!H26</f>
        <v>2500000</v>
      </c>
      <c r="H21" s="8" t="n">
        <v>0</v>
      </c>
      <c r="I21" s="8" t="n">
        <f aca="false">L06_PayoLebar!H32</f>
        <v>14000000</v>
      </c>
      <c r="J21" s="8" t="n">
        <f aca="false">L06_PayoLebar!H34</f>
        <v>41250000</v>
      </c>
      <c r="K21" s="8" t="n">
        <v>41250000</v>
      </c>
      <c r="L21" s="8" t="n">
        <f aca="false">L06_PayoLebar!H33</f>
        <v>750000</v>
      </c>
      <c r="M21" s="9" t="str">
        <f aca="false">IF(L06_PayoLebar!$H$33&lt;0,"OVER","OK")</f>
        <v>OK</v>
      </c>
    </row>
    <row r="22" customFormat="false" ht="21.75" hidden="false" customHeight="true" outlineLevel="0" collapsed="false">
      <c r="A22" s="2"/>
      <c r="B22" s="7" t="s">
        <v>45</v>
      </c>
      <c r="C22" s="7" t="s">
        <v>46</v>
      </c>
      <c r="D22" s="7" t="s">
        <v>33</v>
      </c>
      <c r="E22" s="7" t="n">
        <v>1</v>
      </c>
      <c r="F22" s="8" t="n">
        <f aca="false">L07_PudingMas!H20</f>
        <v>20400000</v>
      </c>
      <c r="G22" s="8" t="n">
        <f aca="false">L07_PudingMas!H31</f>
        <v>8591325</v>
      </c>
      <c r="H22" s="8" t="n">
        <f aca="false">L07_PudingMas!H39</f>
        <v>38500000</v>
      </c>
      <c r="I22" s="8" t="n">
        <v>0</v>
      </c>
      <c r="J22" s="8" t="n">
        <f aca="false">L07_PudingMas!H41</f>
        <v>74785598</v>
      </c>
      <c r="K22" s="8" t="n">
        <v>74785598</v>
      </c>
      <c r="L22" s="8" t="n">
        <f aca="false">L07_PudingMas!H40</f>
        <v>7294273</v>
      </c>
      <c r="M22" s="9" t="str">
        <f aca="false">IF(L07_PudingMas!$H$40&lt;0,"OVER","OK")</f>
        <v>OK</v>
      </c>
    </row>
    <row r="23" customFormat="false" ht="21.75" hidden="false" customHeight="true" outlineLevel="0" collapsed="false">
      <c r="A23" s="2"/>
      <c r="B23" s="7" t="s">
        <v>47</v>
      </c>
      <c r="C23" s="7" t="s">
        <v>48</v>
      </c>
      <c r="D23" s="7" t="s">
        <v>33</v>
      </c>
      <c r="E23" s="7" t="n">
        <v>1</v>
      </c>
      <c r="F23" s="8" t="n">
        <f aca="false">L08a_TanjungAur!H20</f>
        <v>27000000</v>
      </c>
      <c r="G23" s="8" t="n">
        <f aca="false">L08a_TanjungAur!H31</f>
        <v>8591325</v>
      </c>
      <c r="H23" s="8" t="n">
        <f aca="false">L08a_TanjungAur!H39</f>
        <v>38500000</v>
      </c>
      <c r="I23" s="8" t="n">
        <v>0</v>
      </c>
      <c r="J23" s="8" t="n">
        <f aca="false">L08a_TanjungAur!H41</f>
        <v>104791913</v>
      </c>
      <c r="K23" s="8" t="n">
        <v>104791913</v>
      </c>
      <c r="L23" s="8" t="n">
        <f aca="false">L08a_TanjungAur!H40</f>
        <v>30700588</v>
      </c>
      <c r="M23" s="9" t="str">
        <f aca="false">IF(L08a_TanjungAur!$H$40&lt;0,"OVER","OK")</f>
        <v>OK</v>
      </c>
    </row>
    <row r="24" customFormat="false" ht="21.75" hidden="false" customHeight="true" outlineLevel="0" collapsed="false">
      <c r="A24" s="2"/>
      <c r="B24" s="7" t="s">
        <v>49</v>
      </c>
      <c r="C24" s="7" t="s">
        <v>50</v>
      </c>
      <c r="D24" s="7" t="s">
        <v>33</v>
      </c>
      <c r="E24" s="7" t="n">
        <v>1</v>
      </c>
      <c r="F24" s="8" t="n">
        <f aca="false">L08b_TanjungAur!H20</f>
        <v>27000000</v>
      </c>
      <c r="G24" s="8" t="n">
        <f aca="false">L08b_TanjungAur!H31</f>
        <v>8591325</v>
      </c>
      <c r="H24" s="8" t="n">
        <f aca="false">L08b_TanjungAur!H39</f>
        <v>38500000</v>
      </c>
      <c r="I24" s="8" t="n">
        <v>0</v>
      </c>
      <c r="J24" s="8" t="n">
        <f aca="false">L08b_TanjungAur!H41</f>
        <v>104791913</v>
      </c>
      <c r="K24" s="8" t="n">
        <v>104791913</v>
      </c>
      <c r="L24" s="8" t="n">
        <f aca="false">L08b_TanjungAur!H40</f>
        <v>30700588</v>
      </c>
      <c r="M24" s="9" t="str">
        <f aca="false">IF(L08b_TanjungAur!$H$40&lt;0,"OVER","OK")</f>
        <v>OK</v>
      </c>
    </row>
    <row r="25" customFormat="false" ht="21.75" hidden="false" customHeight="true" outlineLevel="0" collapsed="false">
      <c r="A25" s="2"/>
      <c r="B25" s="7" t="s">
        <v>51</v>
      </c>
      <c r="C25" s="7" t="s">
        <v>52</v>
      </c>
      <c r="D25" s="7" t="s">
        <v>33</v>
      </c>
      <c r="E25" s="7" t="n">
        <v>1</v>
      </c>
      <c r="F25" s="8" t="n">
        <f aca="false">L08c_TanjungAur!H20</f>
        <v>27000000</v>
      </c>
      <c r="G25" s="8" t="n">
        <f aca="false">L08c_TanjungAur!H31</f>
        <v>8591325</v>
      </c>
      <c r="H25" s="8" t="n">
        <f aca="false">L08c_TanjungAur!H39</f>
        <v>38500000</v>
      </c>
      <c r="I25" s="8" t="n">
        <v>0</v>
      </c>
      <c r="J25" s="8" t="n">
        <f aca="false">L08c_TanjungAur!H41</f>
        <v>104791913</v>
      </c>
      <c r="K25" s="8" t="n">
        <v>104791913</v>
      </c>
      <c r="L25" s="8" t="n">
        <f aca="false">L08c_TanjungAur!H40</f>
        <v>30700588</v>
      </c>
      <c r="M25" s="9" t="str">
        <f aca="false">IF(L08c_TanjungAur!$H$40&lt;0,"OVER","OK")</f>
        <v>OK</v>
      </c>
    </row>
    <row r="26" customFormat="false" ht="21.75" hidden="false" customHeight="true" outlineLevel="0" collapsed="false">
      <c r="A26" s="2"/>
      <c r="B26" s="7" t="s">
        <v>53</v>
      </c>
      <c r="C26" s="7" t="s">
        <v>54</v>
      </c>
      <c r="D26" s="7" t="s">
        <v>33</v>
      </c>
      <c r="E26" s="7" t="n">
        <v>1</v>
      </c>
      <c r="F26" s="8" t="n">
        <f aca="false">L09_BerkatMulia!H20</f>
        <v>25200000</v>
      </c>
      <c r="G26" s="8" t="n">
        <f aca="false">L09_BerkatMulia!H31</f>
        <v>8591325</v>
      </c>
      <c r="H26" s="8" t="n">
        <f aca="false">L09_BerkatMulia!H39</f>
        <v>38500000</v>
      </c>
      <c r="I26" s="8" t="n">
        <v>0</v>
      </c>
      <c r="J26" s="8" t="n">
        <f aca="false">L09_BerkatMulia!H41</f>
        <v>75939562</v>
      </c>
      <c r="K26" s="8" t="n">
        <v>75939562</v>
      </c>
      <c r="L26" s="8" t="n">
        <f aca="false">L09_BerkatMulia!H40</f>
        <v>3648237</v>
      </c>
      <c r="M26" s="9" t="str">
        <f aca="false">IF(L09_BerkatMulia!$H$40&lt;0,"OVER","OK")</f>
        <v>OK</v>
      </c>
    </row>
    <row r="27" customFormat="false" ht="27.75" hidden="false" customHeight="true" outlineLevel="0" collapsed="false">
      <c r="A27" s="2"/>
      <c r="B27" s="10" t="s">
        <v>55</v>
      </c>
      <c r="C27" s="10"/>
      <c r="D27" s="10"/>
      <c r="E27" s="10"/>
      <c r="F27" s="11" t="n">
        <f aca="false">SUM(F15:F26)</f>
        <v>267600000</v>
      </c>
      <c r="G27" s="11" t="n">
        <f aca="false">SUM(G15:G26)</f>
        <v>80021925</v>
      </c>
      <c r="H27" s="11" t="n">
        <f aca="false">SUM(H15:H26)</f>
        <v>346500000</v>
      </c>
      <c r="I27" s="11" t="n">
        <f aca="false">SUM(I15:I26)</f>
        <v>35000000</v>
      </c>
      <c r="J27" s="11" t="n">
        <f aca="false">SUM(J15:J26)</f>
        <v>946853951</v>
      </c>
      <c r="K27" s="11" t="n">
        <f aca="false">SUM(K15:K26)</f>
        <v>946853951</v>
      </c>
      <c r="L27" s="11" t="n">
        <f aca="false">SUM(L15:L26)</f>
        <v>217732026</v>
      </c>
      <c r="M27" s="9" t="str">
        <f aca="false">IF(COUNTIF(M15:M26,"OVER")&gt;0,"OVER","OK")</f>
        <v>OVER</v>
      </c>
    </row>
    <row r="28" customFormat="false" ht="15.75" hidden="false" customHeight="tru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customFormat="false" ht="15.75" hidden="false" customHeight="tru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customFormat="false" ht="15" hidden="false" customHeight="true" outlineLevel="0" collapsed="false">
      <c r="A30" s="2"/>
      <c r="B30" s="12" t="s">
        <v>56</v>
      </c>
      <c r="C30" s="2"/>
      <c r="D30" s="2"/>
      <c r="E30" s="2"/>
      <c r="F30" s="2"/>
      <c r="G30" s="2"/>
      <c r="H30" s="2"/>
      <c r="I30" s="2"/>
      <c r="J30" s="2"/>
      <c r="K30" s="2"/>
      <c r="L30" s="2"/>
    </row>
    <row r="31" customFormat="false" ht="18" hidden="false" customHeight="true" outlineLevel="0" collapsed="false">
      <c r="A31" s="2"/>
      <c r="B31" s="13" t="s">
        <v>57</v>
      </c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</row>
    <row r="32" customFormat="false" ht="18" hidden="false" customHeight="true" outlineLevel="0" collapsed="false">
      <c r="A32" s="2"/>
      <c r="B32" s="13" t="s">
        <v>58</v>
      </c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</row>
    <row r="33" customFormat="false" ht="18" hidden="false" customHeight="true" outlineLevel="0" collapsed="false">
      <c r="A33" s="2"/>
      <c r="B33" s="13" t="s">
        <v>59</v>
      </c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</row>
    <row r="34" customFormat="false" ht="18" hidden="false" customHeight="true" outlineLevel="0" collapsed="false">
      <c r="A34" s="2"/>
      <c r="B34" s="13" t="s">
        <v>60</v>
      </c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</row>
    <row r="35" customFormat="false" ht="18" hidden="false" customHeight="true" outlineLevel="0" collapsed="false">
      <c r="A35" s="2"/>
      <c r="B35" s="13" t="s">
        <v>61</v>
      </c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</row>
    <row r="36" customFormat="false" ht="18" hidden="false" customHeight="true" outlineLevel="0" collapsed="false">
      <c r="A36" s="2"/>
      <c r="B36" s="13" t="s">
        <v>62</v>
      </c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</row>
    <row r="37" customFormat="false" ht="18" hidden="false" customHeight="true" outlineLevel="0" collapsed="false">
      <c r="A37" s="2"/>
      <c r="B37" s="13" t="s">
        <v>63</v>
      </c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</row>
    <row r="38" customFormat="false" ht="18" hidden="false" customHeight="true" outlineLevel="0" collapsed="false">
      <c r="A38" s="2"/>
      <c r="B38" s="13" t="s">
        <v>64</v>
      </c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</row>
    <row r="39" customFormat="false" ht="18" hidden="false" customHeight="true" outlineLevel="0" collapsed="false">
      <c r="A39" s="2"/>
      <c r="B39" s="13" t="s">
        <v>65</v>
      </c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</row>
    <row r="40" customFormat="false" ht="18" hidden="false" customHeight="true" outlineLevel="0" collapsed="false">
      <c r="A40" s="2"/>
      <c r="B40" s="13" t="s">
        <v>66</v>
      </c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</row>
    <row r="41" customFormat="false" ht="18" hidden="false" customHeight="true" outlineLevel="0" collapsed="false">
      <c r="A41" s="2"/>
      <c r="B41" s="13" t="s">
        <v>67</v>
      </c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</row>
    <row r="42" customFormat="false" ht="18" hidden="false" customHeight="true" outlineLevel="0" collapsed="false">
      <c r="A42" s="2"/>
      <c r="B42" s="13" t="s">
        <v>68</v>
      </c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</row>
    <row r="43" customFormat="false" ht="18" hidden="false" customHeight="true" outlineLevel="0" collapsed="false">
      <c r="A43" s="2"/>
      <c r="B43" s="13" t="s">
        <v>69</v>
      </c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</row>
    <row r="44" customFormat="false" ht="18" hidden="false" customHeight="true" outlineLevel="0" collapsed="false">
      <c r="A44" s="2"/>
      <c r="B44" s="13" t="s">
        <v>70</v>
      </c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</row>
    <row r="45" customFormat="false" ht="18" hidden="false" customHeight="true" outlineLevel="0" collapsed="false">
      <c r="A45" s="2"/>
      <c r="B45" s="13" t="s">
        <v>71</v>
      </c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</row>
    <row r="46" customFormat="false" ht="18" hidden="false" customHeight="true" outlineLevel="0" collapsed="false">
      <c r="A46" s="2"/>
      <c r="B46" s="13" t="s">
        <v>72</v>
      </c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</row>
    <row r="47" customFormat="false" ht="18" hidden="false" customHeight="true" outlineLevel="0" collapsed="false">
      <c r="A47" s="2"/>
      <c r="B47" s="13" t="s">
        <v>73</v>
      </c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</row>
    <row r="48" customFormat="false" ht="18" hidden="false" customHeight="true" outlineLevel="0" collapsed="false">
      <c r="A48" s="2"/>
      <c r="B48" s="13" t="s">
        <v>74</v>
      </c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</row>
    <row r="49" customFormat="false" ht="18" hidden="false" customHeight="true" outlineLevel="0" collapsed="false">
      <c r="A49" s="2"/>
      <c r="B49" s="13" t="s">
        <v>75</v>
      </c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</row>
    <row r="50" customFormat="false" ht="15.7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</row>
    <row r="250" customFormat="false" ht="15.7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</row>
    <row r="251" customFormat="false" ht="15.7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</row>
    <row r="252" customFormat="false" ht="15.7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</row>
    <row r="253" customFormat="false" ht="15.7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</row>
    <row r="254" customFormat="false" ht="15.7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</row>
    <row r="255" customFormat="false" ht="15.7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</row>
    <row r="256" customFormat="false" ht="15.7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</row>
    <row r="257" customFormat="false" ht="15.7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</row>
    <row r="258" customFormat="false" ht="15.7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</row>
    <row r="259" customFormat="false" ht="15.7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</row>
    <row r="260" customFormat="false" ht="15.7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</row>
    <row r="261" customFormat="false" ht="15.7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</row>
    <row r="262" customFormat="false" ht="15.7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</row>
    <row r="263" customFormat="false" ht="15.7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</row>
    <row r="264" customFormat="false" ht="15.7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</row>
    <row r="265" customFormat="false" ht="15.7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</row>
    <row r="266" customFormat="false" ht="15.7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</row>
    <row r="267" customFormat="false" ht="15.7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</row>
    <row r="268" customFormat="false" ht="15.7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</row>
    <row r="269" customFormat="false" ht="15.7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</row>
    <row r="270" customFormat="false" ht="15.7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</row>
    <row r="271" customFormat="false" ht="15.7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</row>
    <row r="272" customFormat="false" ht="15.7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</row>
    <row r="273" customFormat="false" ht="15.7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</row>
    <row r="274" customFormat="false" ht="15.7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</row>
    <row r="275" customFormat="false" ht="15.7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</row>
    <row r="276" customFormat="false" ht="15.7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</row>
    <row r="277" customFormat="false" ht="15.7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</row>
    <row r="278" customFormat="false" ht="15.7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</row>
    <row r="279" customFormat="false" ht="15.7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</row>
    <row r="280" customFormat="false" ht="15.7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</row>
    <row r="281" customFormat="false" ht="15.7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</row>
    <row r="282" customFormat="false" ht="15.7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</row>
    <row r="283" customFormat="false" ht="15.7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</row>
    <row r="284" customFormat="false" ht="15.7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</row>
    <row r="285" customFormat="false" ht="15.7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</row>
    <row r="286" customFormat="false" ht="15.7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</row>
    <row r="287" customFormat="false" ht="15.7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</row>
    <row r="288" customFormat="false" ht="15.7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</row>
    <row r="289" customFormat="false" ht="15.7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</row>
    <row r="290" customFormat="false" ht="15.7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</row>
    <row r="291" customFormat="false" ht="15.7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</row>
    <row r="292" customFormat="false" ht="15.7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</row>
    <row r="293" customFormat="false" ht="15.7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</row>
    <row r="294" customFormat="false" ht="15.7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</row>
    <row r="295" customFormat="false" ht="15.7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</row>
    <row r="296" customFormat="false" ht="15.7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</row>
    <row r="297" customFormat="false" ht="15.7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</row>
    <row r="298" customFormat="false" ht="15.7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</row>
    <row r="299" customFormat="false" ht="15.7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</row>
    <row r="300" customFormat="false" ht="15.7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</row>
    <row r="301" customFormat="false" ht="15.7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</row>
    <row r="302" customFormat="false" ht="15.7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</row>
    <row r="303" customFormat="false" ht="15.7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</row>
    <row r="304" customFormat="false" ht="15.7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</row>
    <row r="305" customFormat="false" ht="15.7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</row>
    <row r="306" customFormat="false" ht="15.7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</row>
    <row r="307" customFormat="false" ht="15.7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</row>
    <row r="308" customFormat="false" ht="15.7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</row>
    <row r="309" customFormat="false" ht="15.7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</row>
    <row r="310" customFormat="false" ht="15.7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</row>
    <row r="311" customFormat="false" ht="15.7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</row>
    <row r="312" customFormat="false" ht="15.7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</row>
    <row r="313" customFormat="false" ht="15.7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</row>
    <row r="314" customFormat="false" ht="15.7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</row>
    <row r="315" customFormat="false" ht="15.7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</row>
    <row r="316" customFormat="false" ht="15.7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</row>
    <row r="317" customFormat="false" ht="15.7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</row>
    <row r="318" customFormat="false" ht="15.7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</row>
    <row r="319" customFormat="false" ht="15.7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</row>
    <row r="320" customFormat="false" ht="15.7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</row>
    <row r="321" customFormat="false" ht="15.7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</row>
    <row r="322" customFormat="false" ht="15.7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</row>
    <row r="323" customFormat="false" ht="15.7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</row>
    <row r="324" customFormat="false" ht="15.7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</row>
    <row r="325" customFormat="false" ht="15.7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</row>
    <row r="326" customFormat="false" ht="15.7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</row>
    <row r="327" customFormat="false" ht="15.7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</row>
    <row r="328" customFormat="false" ht="15.7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</row>
    <row r="329" customFormat="false" ht="15.7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</row>
    <row r="330" customFormat="false" ht="15.7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</row>
    <row r="331" customFormat="false" ht="15.7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</row>
    <row r="332" customFormat="false" ht="15.7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</row>
    <row r="333" customFormat="false" ht="15.7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</row>
    <row r="334" customFormat="false" ht="15.7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</row>
    <row r="335" customFormat="false" ht="15.7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</row>
    <row r="336" customFormat="false" ht="15.7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</row>
    <row r="337" customFormat="false" ht="15.7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</row>
    <row r="338" customFormat="false" ht="15.7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</row>
    <row r="339" customFormat="false" ht="15.7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</row>
    <row r="340" customFormat="false" ht="15.7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</row>
    <row r="341" customFormat="false" ht="15.7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</row>
    <row r="342" customFormat="false" ht="15.7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</row>
    <row r="343" customFormat="false" ht="15.7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</row>
    <row r="344" customFormat="false" ht="15.7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</row>
    <row r="345" customFormat="false" ht="15.7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</row>
    <row r="346" customFormat="false" ht="15.7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</row>
    <row r="347" customFormat="false" ht="15.7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</row>
    <row r="348" customFormat="false" ht="15.7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</row>
    <row r="349" customFormat="false" ht="15.7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</row>
    <row r="350" customFormat="false" ht="15.7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</row>
    <row r="351" customFormat="false" ht="15.7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</row>
    <row r="352" customFormat="false" ht="15.7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</row>
    <row r="353" customFormat="false" ht="15.7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</row>
    <row r="354" customFormat="false" ht="15.7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</row>
    <row r="355" customFormat="false" ht="15.7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</row>
    <row r="356" customFormat="false" ht="15.7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</row>
    <row r="357" customFormat="false" ht="15.7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</row>
    <row r="358" customFormat="false" ht="15.7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</row>
    <row r="359" customFormat="false" ht="15.7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</row>
    <row r="360" customFormat="false" ht="15.7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</row>
    <row r="361" customFormat="false" ht="15.7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</row>
    <row r="362" customFormat="false" ht="15.7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</row>
    <row r="363" customFormat="false" ht="15.7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</row>
    <row r="364" customFormat="false" ht="15.7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</row>
    <row r="365" customFormat="false" ht="15.7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</row>
    <row r="366" customFormat="false" ht="15.7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</row>
    <row r="367" customFormat="false" ht="15.7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</row>
    <row r="368" customFormat="false" ht="15.7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</row>
    <row r="369" customFormat="false" ht="15.7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</row>
    <row r="370" customFormat="false" ht="15.7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</row>
    <row r="371" customFormat="false" ht="15.7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</row>
    <row r="372" customFormat="false" ht="15.7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</row>
    <row r="373" customFormat="false" ht="15.7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</row>
    <row r="374" customFormat="false" ht="15.7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</row>
    <row r="375" customFormat="false" ht="15.7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</row>
    <row r="376" customFormat="false" ht="15.7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</row>
    <row r="377" customFormat="false" ht="15.7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</row>
    <row r="378" customFormat="false" ht="15.7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</row>
    <row r="379" customFormat="false" ht="15.7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</row>
    <row r="380" customFormat="false" ht="15.7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</row>
    <row r="381" customFormat="false" ht="15.7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</row>
    <row r="382" customFormat="false" ht="15.7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</row>
    <row r="383" customFormat="false" ht="15.7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</row>
    <row r="384" customFormat="false" ht="15.7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</row>
    <row r="385" customFormat="false" ht="15.7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</row>
    <row r="386" customFormat="false" ht="15.7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</row>
    <row r="387" customFormat="false" ht="15.7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</row>
    <row r="388" customFormat="false" ht="15.7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</row>
    <row r="389" customFormat="false" ht="15.7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</row>
    <row r="390" customFormat="false" ht="15.7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</row>
    <row r="391" customFormat="false" ht="15.7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</row>
    <row r="392" customFormat="false" ht="15.7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</row>
    <row r="393" customFormat="false" ht="15.7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</row>
    <row r="394" customFormat="false" ht="15.7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</row>
    <row r="395" customFormat="false" ht="15.7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</row>
    <row r="396" customFormat="false" ht="15.7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</row>
    <row r="397" customFormat="false" ht="15.7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</row>
    <row r="398" customFormat="false" ht="15.7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</row>
    <row r="399" customFormat="false" ht="15.7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</row>
    <row r="400" customFormat="false" ht="15.7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</row>
    <row r="401" customFormat="false" ht="15.7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</row>
    <row r="402" customFormat="false" ht="15.7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</row>
    <row r="403" customFormat="false" ht="15.7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</row>
    <row r="404" customFormat="false" ht="15.7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</row>
    <row r="405" customFormat="false" ht="15.7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</row>
    <row r="406" customFormat="false" ht="15.7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</row>
    <row r="407" customFormat="false" ht="15.7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</row>
    <row r="408" customFormat="false" ht="15.7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</row>
    <row r="409" customFormat="false" ht="15.7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</row>
    <row r="410" customFormat="false" ht="15.7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</row>
    <row r="411" customFormat="false" ht="15.7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</row>
    <row r="412" customFormat="false" ht="15.7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</row>
    <row r="413" customFormat="false" ht="15.7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</row>
    <row r="414" customFormat="false" ht="15.7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</row>
    <row r="415" customFormat="false" ht="15.7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</row>
    <row r="416" customFormat="false" ht="15.7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</row>
    <row r="417" customFormat="false" ht="15.7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</row>
    <row r="418" customFormat="false" ht="15.7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</row>
    <row r="419" customFormat="false" ht="15.7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</row>
    <row r="420" customFormat="false" ht="15.7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</row>
    <row r="421" customFormat="false" ht="15.7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</row>
    <row r="422" customFormat="false" ht="15.7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</row>
    <row r="423" customFormat="false" ht="15.7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</row>
    <row r="424" customFormat="false" ht="15.7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</row>
    <row r="425" customFormat="false" ht="15.7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</row>
    <row r="426" customFormat="false" ht="15.7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</row>
    <row r="427" customFormat="false" ht="15.7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</row>
    <row r="428" customFormat="false" ht="15.7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</row>
    <row r="429" customFormat="false" ht="15.7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</row>
    <row r="430" customFormat="false" ht="15.7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</row>
    <row r="431" customFormat="false" ht="15.7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</row>
    <row r="432" customFormat="false" ht="15.7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</row>
    <row r="433" customFormat="false" ht="15.7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</row>
    <row r="434" customFormat="false" ht="15.7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</row>
    <row r="435" customFormat="false" ht="15.7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</row>
    <row r="436" customFormat="false" ht="15.7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</row>
    <row r="437" customFormat="false" ht="15.7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</row>
    <row r="438" customFormat="false" ht="15.7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</row>
    <row r="439" customFormat="false" ht="15.7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</row>
    <row r="440" customFormat="false" ht="15.7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</row>
    <row r="441" customFormat="false" ht="15.7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</row>
    <row r="442" customFormat="false" ht="15.7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</row>
    <row r="443" customFormat="false" ht="15.7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</row>
    <row r="444" customFormat="false" ht="15.7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</row>
    <row r="445" customFormat="false" ht="15.7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</row>
    <row r="446" customFormat="false" ht="15.7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</row>
    <row r="447" customFormat="false" ht="15.7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</row>
    <row r="448" customFormat="false" ht="15.7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</row>
    <row r="449" customFormat="false" ht="15.7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</row>
    <row r="450" customFormat="false" ht="15.7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</row>
    <row r="451" customFormat="false" ht="15.7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</row>
    <row r="452" customFormat="false" ht="15.7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</row>
    <row r="453" customFormat="false" ht="15.7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</row>
    <row r="454" customFormat="false" ht="15.7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</row>
    <row r="455" customFormat="false" ht="15.7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</row>
    <row r="456" customFormat="false" ht="15.7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</row>
    <row r="457" customFormat="false" ht="15.7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</row>
    <row r="458" customFormat="false" ht="15.7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</row>
    <row r="459" customFormat="false" ht="15.7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</row>
    <row r="460" customFormat="false" ht="15.7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</row>
    <row r="461" customFormat="false" ht="15.7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</row>
    <row r="462" customFormat="false" ht="15.7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</row>
    <row r="463" customFormat="false" ht="15.7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</row>
    <row r="464" customFormat="false" ht="15.7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</row>
    <row r="465" customFormat="false" ht="15.7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</row>
    <row r="466" customFormat="false" ht="15.7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</row>
    <row r="467" customFormat="false" ht="15.7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</row>
    <row r="468" customFormat="false" ht="15.7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</row>
    <row r="469" customFormat="false" ht="15.7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</row>
    <row r="470" customFormat="false" ht="15.7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</row>
    <row r="471" customFormat="false" ht="15.7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</row>
    <row r="472" customFormat="false" ht="15.7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</row>
    <row r="473" customFormat="false" ht="15.7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</row>
    <row r="474" customFormat="false" ht="15.7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</row>
    <row r="475" customFormat="false" ht="15.7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</row>
    <row r="476" customFormat="false" ht="15.7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</row>
    <row r="477" customFormat="false" ht="15.7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</row>
    <row r="478" customFormat="false" ht="15.7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</row>
    <row r="479" customFormat="false" ht="15.7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</row>
    <row r="480" customFormat="false" ht="15.7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</row>
    <row r="481" customFormat="false" ht="15.7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</row>
    <row r="482" customFormat="false" ht="15.7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</row>
    <row r="483" customFormat="false" ht="15.7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</row>
    <row r="484" customFormat="false" ht="15.7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</row>
    <row r="485" customFormat="false" ht="15.7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</row>
    <row r="486" customFormat="false" ht="15.7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</row>
    <row r="487" customFormat="false" ht="15.7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</row>
    <row r="488" customFormat="false" ht="15.7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</row>
    <row r="489" customFormat="false" ht="15.7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</row>
    <row r="490" customFormat="false" ht="15.7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</row>
    <row r="491" customFormat="false" ht="15.7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</row>
    <row r="492" customFormat="false" ht="15.7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</row>
    <row r="493" customFormat="false" ht="15.7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</row>
    <row r="494" customFormat="false" ht="15.7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</row>
    <row r="495" customFormat="false" ht="15.7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</row>
    <row r="496" customFormat="false" ht="15.7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</row>
    <row r="497" customFormat="false" ht="15.7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</row>
    <row r="498" customFormat="false" ht="15.7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</row>
    <row r="499" customFormat="false" ht="15.7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</row>
    <row r="500" customFormat="false" ht="15.7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</row>
    <row r="501" customFormat="false" ht="15.7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</row>
    <row r="502" customFormat="false" ht="15.7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</row>
    <row r="503" customFormat="false" ht="15.7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</row>
    <row r="504" customFormat="false" ht="15.7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</row>
    <row r="505" customFormat="false" ht="15.7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</row>
    <row r="506" customFormat="false" ht="15.7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</row>
    <row r="507" customFormat="false" ht="15.7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</row>
    <row r="508" customFormat="false" ht="15.7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</row>
    <row r="509" customFormat="false" ht="15.7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</row>
    <row r="510" customFormat="false" ht="15.7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</row>
    <row r="511" customFormat="false" ht="15.7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</row>
    <row r="512" customFormat="false" ht="15.7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</row>
    <row r="513" customFormat="false" ht="15.7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</row>
    <row r="514" customFormat="false" ht="15.7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</row>
    <row r="515" customFormat="false" ht="15.7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</row>
    <row r="516" customFormat="false" ht="15.7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</row>
    <row r="517" customFormat="false" ht="15.7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</row>
    <row r="518" customFormat="false" ht="15.7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</row>
    <row r="519" customFormat="false" ht="15.7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</row>
    <row r="520" customFormat="false" ht="15.7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</row>
    <row r="521" customFormat="false" ht="15.7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</row>
    <row r="522" customFormat="false" ht="15.7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</row>
    <row r="523" customFormat="false" ht="15.7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</row>
    <row r="524" customFormat="false" ht="15.7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</row>
    <row r="525" customFormat="false" ht="15.7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</row>
    <row r="526" customFormat="false" ht="15.7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</row>
    <row r="527" customFormat="false" ht="15.7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</row>
    <row r="528" customFormat="false" ht="15.7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</row>
    <row r="529" customFormat="false" ht="15.7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</row>
    <row r="530" customFormat="false" ht="15.7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</row>
    <row r="531" customFormat="false" ht="15.7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</row>
    <row r="532" customFormat="false" ht="15.7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</row>
    <row r="533" customFormat="false" ht="15.7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</row>
    <row r="534" customFormat="false" ht="15.7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</row>
    <row r="535" customFormat="false" ht="15.7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</row>
    <row r="536" customFormat="false" ht="15.7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</row>
    <row r="537" customFormat="false" ht="15.7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</row>
    <row r="538" customFormat="false" ht="15.7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</row>
    <row r="539" customFormat="false" ht="15.7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</row>
    <row r="540" customFormat="false" ht="15.7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</row>
    <row r="541" customFormat="false" ht="15.7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</row>
    <row r="542" customFormat="false" ht="15.7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</row>
    <row r="543" customFormat="false" ht="15.7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</row>
    <row r="544" customFormat="false" ht="15.7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</row>
    <row r="545" customFormat="false" ht="15.7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</row>
    <row r="546" customFormat="false" ht="15.7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</row>
    <row r="547" customFormat="false" ht="15.7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</row>
    <row r="548" customFormat="false" ht="15.7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</row>
    <row r="549" customFormat="false" ht="15.7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</row>
    <row r="550" customFormat="false" ht="15.7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</row>
    <row r="551" customFormat="false" ht="15.7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</row>
    <row r="552" customFormat="false" ht="15.7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</row>
    <row r="553" customFormat="false" ht="15.7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</row>
    <row r="554" customFormat="false" ht="15.7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</row>
    <row r="555" customFormat="false" ht="15.7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</row>
    <row r="556" customFormat="false" ht="15.7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</row>
    <row r="557" customFormat="false" ht="15.7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</row>
    <row r="558" customFormat="false" ht="15.7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</row>
    <row r="559" customFormat="false" ht="15.7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</row>
    <row r="560" customFormat="false" ht="15.7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</row>
    <row r="561" customFormat="false" ht="15.7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</row>
    <row r="562" customFormat="false" ht="15.7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</row>
    <row r="563" customFormat="false" ht="15.7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</row>
    <row r="564" customFormat="false" ht="15.7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</row>
    <row r="565" customFormat="false" ht="15.7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</row>
    <row r="566" customFormat="false" ht="15.7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</row>
    <row r="567" customFormat="false" ht="15.7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</row>
    <row r="568" customFormat="false" ht="15.7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</row>
    <row r="569" customFormat="false" ht="15.7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</row>
    <row r="570" customFormat="false" ht="15.7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</row>
    <row r="571" customFormat="false" ht="15.7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</row>
    <row r="572" customFormat="false" ht="15.7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</row>
    <row r="573" customFormat="false" ht="15.7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</row>
    <row r="574" customFormat="false" ht="15.7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</row>
    <row r="575" customFormat="false" ht="15.7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</row>
    <row r="576" customFormat="false" ht="15.7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</row>
    <row r="577" customFormat="false" ht="15.7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</row>
    <row r="578" customFormat="false" ht="15.7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</row>
    <row r="579" customFormat="false" ht="15.7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</row>
    <row r="580" customFormat="false" ht="15.7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</row>
    <row r="581" customFormat="false" ht="15.7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</row>
    <row r="582" customFormat="false" ht="15.7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</row>
    <row r="583" customFormat="false" ht="15.7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</row>
    <row r="584" customFormat="false" ht="15.7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</row>
    <row r="585" customFormat="false" ht="15.7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</row>
    <row r="586" customFormat="false" ht="15.7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</row>
    <row r="587" customFormat="false" ht="15.7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</row>
    <row r="588" customFormat="false" ht="15.7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</row>
    <row r="589" customFormat="false" ht="15.7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</row>
    <row r="590" customFormat="false" ht="15.7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</row>
    <row r="591" customFormat="false" ht="15.7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</row>
    <row r="592" customFormat="false" ht="15.7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</row>
    <row r="593" customFormat="false" ht="15.7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</row>
    <row r="594" customFormat="false" ht="15.7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</row>
    <row r="595" customFormat="false" ht="15.7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</row>
    <row r="596" customFormat="false" ht="15.7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</row>
    <row r="597" customFormat="false" ht="15.7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</row>
    <row r="598" customFormat="false" ht="15.7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</row>
    <row r="599" customFormat="false" ht="15.7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</row>
    <row r="600" customFormat="false" ht="15.7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</row>
    <row r="601" customFormat="false" ht="15.7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</row>
    <row r="602" customFormat="false" ht="15.7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</row>
    <row r="603" customFormat="false" ht="15.7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</row>
    <row r="604" customFormat="false" ht="15.7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</row>
    <row r="605" customFormat="false" ht="15.7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</row>
    <row r="606" customFormat="false" ht="15.7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</row>
    <row r="607" customFormat="false" ht="15.7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</row>
    <row r="608" customFormat="false" ht="15.7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</row>
    <row r="609" customFormat="false" ht="15.7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</row>
    <row r="610" customFormat="false" ht="15.7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</row>
    <row r="611" customFormat="false" ht="15.7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</row>
    <row r="612" customFormat="false" ht="15.7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</row>
    <row r="613" customFormat="false" ht="15.7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</row>
    <row r="614" customFormat="false" ht="15.7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</row>
    <row r="615" customFormat="false" ht="15.7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</row>
    <row r="616" customFormat="false" ht="15.7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</row>
    <row r="617" customFormat="false" ht="15.7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</row>
    <row r="618" customFormat="false" ht="15.7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</row>
    <row r="619" customFormat="false" ht="15.7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</row>
    <row r="620" customFormat="false" ht="15.7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</row>
    <row r="621" customFormat="false" ht="15.7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</row>
    <row r="622" customFormat="false" ht="15.7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</row>
    <row r="623" customFormat="false" ht="15.7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</row>
    <row r="624" customFormat="false" ht="15.7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</row>
    <row r="625" customFormat="false" ht="15.7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</row>
    <row r="626" customFormat="false" ht="15.7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</row>
    <row r="627" customFormat="false" ht="15.7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</row>
    <row r="628" customFormat="false" ht="15.7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</row>
    <row r="629" customFormat="false" ht="15.7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</row>
    <row r="630" customFormat="false" ht="15.7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</row>
    <row r="631" customFormat="false" ht="15.7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</row>
    <row r="632" customFormat="false" ht="15.7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</row>
    <row r="633" customFormat="false" ht="15.7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</row>
    <row r="634" customFormat="false" ht="15.7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</row>
    <row r="635" customFormat="false" ht="15.7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</row>
    <row r="636" customFormat="false" ht="15.7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</row>
    <row r="637" customFormat="false" ht="15.7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</row>
    <row r="638" customFormat="false" ht="15.7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</row>
    <row r="639" customFormat="false" ht="15.7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</row>
    <row r="640" customFormat="false" ht="15.7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</row>
    <row r="641" customFormat="false" ht="15.7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</row>
    <row r="642" customFormat="false" ht="15.7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</row>
    <row r="643" customFormat="false" ht="15.7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</row>
    <row r="644" customFormat="false" ht="15.7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</row>
    <row r="645" customFormat="false" ht="15.7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</row>
    <row r="646" customFormat="false" ht="15.7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</row>
    <row r="647" customFormat="false" ht="15.7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</row>
    <row r="648" customFormat="false" ht="15.7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</row>
    <row r="649" customFormat="false" ht="15.7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</row>
    <row r="650" customFormat="false" ht="15.7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</row>
    <row r="651" customFormat="false" ht="15.7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</row>
    <row r="652" customFormat="false" ht="15.7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</row>
    <row r="653" customFormat="false" ht="15.7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</row>
    <row r="654" customFormat="false" ht="15.7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</row>
    <row r="655" customFormat="false" ht="15.7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</row>
    <row r="656" customFormat="false" ht="15.7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</row>
    <row r="657" customFormat="false" ht="15.7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</row>
    <row r="658" customFormat="false" ht="15.7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</row>
    <row r="659" customFormat="false" ht="15.7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</row>
    <row r="660" customFormat="false" ht="15.7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</row>
    <row r="661" customFormat="false" ht="15.7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</row>
    <row r="662" customFormat="false" ht="15.7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</row>
    <row r="663" customFormat="false" ht="15.7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</row>
    <row r="664" customFormat="false" ht="15.7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</row>
    <row r="665" customFormat="false" ht="15.7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</row>
    <row r="666" customFormat="false" ht="15.7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</row>
    <row r="667" customFormat="false" ht="15.7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</row>
    <row r="668" customFormat="false" ht="15.7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</row>
    <row r="669" customFormat="false" ht="15.7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</row>
    <row r="670" customFormat="false" ht="15.7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</row>
    <row r="671" customFormat="false" ht="15.7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</row>
    <row r="672" customFormat="false" ht="15.7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</row>
    <row r="673" customFormat="false" ht="15.7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</row>
    <row r="674" customFormat="false" ht="15.7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</row>
    <row r="675" customFormat="false" ht="15.7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</row>
    <row r="676" customFormat="false" ht="15.7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</row>
    <row r="677" customFormat="false" ht="15.7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</row>
    <row r="678" customFormat="false" ht="15.7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</row>
    <row r="679" customFormat="false" ht="15.7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</row>
    <row r="680" customFormat="false" ht="15.7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</row>
    <row r="681" customFormat="false" ht="15.7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</row>
    <row r="682" customFormat="false" ht="15.7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</row>
    <row r="683" customFormat="false" ht="15.7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</row>
    <row r="684" customFormat="false" ht="15.7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</row>
    <row r="685" customFormat="false" ht="15.7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</row>
    <row r="686" customFormat="false" ht="15.7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</row>
    <row r="687" customFormat="false" ht="15.7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</row>
    <row r="688" customFormat="false" ht="15.7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</row>
    <row r="689" customFormat="false" ht="15.7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</row>
    <row r="690" customFormat="false" ht="15.7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</row>
    <row r="691" customFormat="false" ht="15.7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</row>
    <row r="692" customFormat="false" ht="15.7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</row>
    <row r="693" customFormat="false" ht="15.7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</row>
    <row r="694" customFormat="false" ht="15.7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</row>
    <row r="695" customFormat="false" ht="15.7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</row>
    <row r="696" customFormat="false" ht="15.7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</row>
    <row r="697" customFormat="false" ht="15.7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</row>
    <row r="698" customFormat="false" ht="15.7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</row>
    <row r="699" customFormat="false" ht="15.7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</row>
    <row r="700" customFormat="false" ht="15.7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</row>
    <row r="701" customFormat="false" ht="15.7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</row>
    <row r="702" customFormat="false" ht="15.7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</row>
    <row r="703" customFormat="false" ht="15.7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</row>
    <row r="704" customFormat="false" ht="15.7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</row>
    <row r="705" customFormat="false" ht="15.7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</row>
    <row r="706" customFormat="false" ht="15.7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</row>
    <row r="707" customFormat="false" ht="15.7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</row>
    <row r="708" customFormat="false" ht="15.7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</row>
    <row r="709" customFormat="false" ht="15.7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</row>
    <row r="710" customFormat="false" ht="15.7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</row>
    <row r="711" customFormat="false" ht="15.7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</row>
    <row r="712" customFormat="false" ht="15.7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</row>
    <row r="713" customFormat="false" ht="15.7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</row>
    <row r="714" customFormat="false" ht="15.7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</row>
    <row r="715" customFormat="false" ht="15.7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</row>
    <row r="716" customFormat="false" ht="15.7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</row>
    <row r="717" customFormat="false" ht="15.7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</row>
    <row r="718" customFormat="false" ht="15.7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</row>
    <row r="719" customFormat="false" ht="15.7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</row>
    <row r="720" customFormat="false" ht="15.7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</row>
    <row r="721" customFormat="false" ht="15.7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</row>
    <row r="722" customFormat="false" ht="15.7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</row>
    <row r="723" customFormat="false" ht="15.7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</row>
    <row r="724" customFormat="false" ht="15.7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</row>
    <row r="725" customFormat="false" ht="15.7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</row>
    <row r="726" customFormat="false" ht="15.7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</row>
    <row r="727" customFormat="false" ht="15.7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</row>
    <row r="728" customFormat="false" ht="15.7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</row>
    <row r="729" customFormat="false" ht="15.7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</row>
    <row r="730" customFormat="false" ht="15.7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</row>
    <row r="731" customFormat="false" ht="15.7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</row>
    <row r="732" customFormat="false" ht="15.7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</row>
    <row r="733" customFormat="false" ht="15.7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</row>
    <row r="734" customFormat="false" ht="15.7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</row>
    <row r="735" customFormat="false" ht="15.7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</row>
    <row r="736" customFormat="false" ht="15.7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</row>
    <row r="737" customFormat="false" ht="15.7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</row>
    <row r="738" customFormat="false" ht="15.7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</row>
    <row r="739" customFormat="false" ht="15.7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</row>
    <row r="740" customFormat="false" ht="15.7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</row>
    <row r="741" customFormat="false" ht="15.7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</row>
    <row r="742" customFormat="false" ht="15.7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</row>
    <row r="743" customFormat="false" ht="15.7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</row>
    <row r="744" customFormat="false" ht="15.7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</row>
    <row r="745" customFormat="false" ht="15.7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</row>
    <row r="746" customFormat="false" ht="15.7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</row>
    <row r="747" customFormat="false" ht="15.7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</row>
    <row r="748" customFormat="false" ht="15.7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</row>
    <row r="749" customFormat="false" ht="15.7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</row>
    <row r="750" customFormat="false" ht="15.7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</row>
    <row r="751" customFormat="false" ht="15.7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</row>
    <row r="752" customFormat="false" ht="15.7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</row>
    <row r="753" customFormat="false" ht="15.7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</row>
    <row r="754" customFormat="false" ht="15.7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</row>
    <row r="755" customFormat="false" ht="15.7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</row>
    <row r="756" customFormat="false" ht="15.7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</row>
    <row r="757" customFormat="false" ht="15.7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</row>
    <row r="758" customFormat="false" ht="15.7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</row>
    <row r="759" customFormat="false" ht="15.7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</row>
    <row r="760" customFormat="false" ht="15.7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</row>
    <row r="761" customFormat="false" ht="15.7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</row>
    <row r="762" customFormat="false" ht="15.7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</row>
    <row r="763" customFormat="false" ht="15.7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</row>
    <row r="764" customFormat="false" ht="15.7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</row>
    <row r="765" customFormat="false" ht="15.7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</row>
    <row r="766" customFormat="false" ht="15.7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</row>
    <row r="767" customFormat="false" ht="15.7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</row>
    <row r="768" customFormat="false" ht="15.7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</row>
    <row r="769" customFormat="false" ht="15.7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</row>
    <row r="770" customFormat="false" ht="15.7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</row>
    <row r="771" customFormat="false" ht="15.7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</row>
    <row r="772" customFormat="false" ht="15.7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</row>
    <row r="773" customFormat="false" ht="15.7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</row>
    <row r="774" customFormat="false" ht="15.7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</row>
    <row r="775" customFormat="false" ht="15.7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</row>
    <row r="776" customFormat="false" ht="15.7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</row>
    <row r="777" customFormat="false" ht="15.7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</row>
    <row r="778" customFormat="false" ht="15.7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</row>
    <row r="779" customFormat="false" ht="15.7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</row>
    <row r="780" customFormat="false" ht="15.7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</row>
    <row r="781" customFormat="false" ht="15.7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</row>
    <row r="782" customFormat="false" ht="15.7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</row>
    <row r="783" customFormat="false" ht="15.7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</row>
    <row r="784" customFormat="false" ht="15.7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</row>
    <row r="785" customFormat="false" ht="15.7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</row>
    <row r="786" customFormat="false" ht="15.7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</row>
    <row r="787" customFormat="false" ht="15.7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</row>
    <row r="788" customFormat="false" ht="15.7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</row>
    <row r="789" customFormat="false" ht="15.7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</row>
    <row r="790" customFormat="false" ht="15.7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</row>
    <row r="791" customFormat="false" ht="15.7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</row>
    <row r="792" customFormat="false" ht="15.7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</row>
    <row r="793" customFormat="false" ht="15.7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</row>
    <row r="794" customFormat="false" ht="15.7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</row>
    <row r="795" customFormat="false" ht="15.7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</row>
    <row r="796" customFormat="false" ht="15.7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</row>
    <row r="797" customFormat="false" ht="15.7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</row>
    <row r="798" customFormat="false" ht="15.7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</row>
    <row r="799" customFormat="false" ht="15.7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</row>
    <row r="800" customFormat="false" ht="15.7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</row>
    <row r="801" customFormat="false" ht="15.7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</row>
    <row r="802" customFormat="false" ht="15.7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</row>
    <row r="803" customFormat="false" ht="15.7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</row>
    <row r="804" customFormat="false" ht="15.7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</row>
    <row r="805" customFormat="false" ht="15.7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</row>
    <row r="806" customFormat="false" ht="15.7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</row>
    <row r="807" customFormat="false" ht="15.7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</row>
    <row r="808" customFormat="false" ht="15.7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</row>
    <row r="809" customFormat="false" ht="15.7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</row>
    <row r="810" customFormat="false" ht="15.7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</row>
    <row r="811" customFormat="false" ht="15.7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</row>
    <row r="812" customFormat="false" ht="15.7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</row>
    <row r="813" customFormat="false" ht="15.7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</row>
    <row r="814" customFormat="false" ht="15.7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</row>
    <row r="815" customFormat="false" ht="15.7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</row>
    <row r="816" customFormat="false" ht="15.7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</row>
    <row r="817" customFormat="false" ht="15.7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</row>
    <row r="818" customFormat="false" ht="15.7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</row>
    <row r="819" customFormat="false" ht="15.7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</row>
    <row r="820" customFormat="false" ht="15.7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</row>
    <row r="821" customFormat="false" ht="15.7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</row>
    <row r="822" customFormat="false" ht="15.7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</row>
    <row r="823" customFormat="false" ht="15.7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</row>
    <row r="824" customFormat="false" ht="15.7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</row>
    <row r="825" customFormat="false" ht="15.7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</row>
    <row r="826" customFormat="false" ht="15.7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</row>
    <row r="827" customFormat="false" ht="15.7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</row>
    <row r="828" customFormat="false" ht="15.7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</row>
    <row r="829" customFormat="false" ht="15.7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</row>
    <row r="830" customFormat="false" ht="15.7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</row>
    <row r="831" customFormat="false" ht="15.7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</row>
    <row r="832" customFormat="false" ht="15.7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</row>
    <row r="833" customFormat="false" ht="15.7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</row>
    <row r="834" customFormat="false" ht="15.7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</row>
    <row r="835" customFormat="false" ht="15.7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</row>
    <row r="836" customFormat="false" ht="15.7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</row>
    <row r="837" customFormat="false" ht="15.7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</row>
    <row r="838" customFormat="false" ht="15.7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</row>
    <row r="839" customFormat="false" ht="15.7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</row>
    <row r="840" customFormat="false" ht="15.7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</row>
    <row r="841" customFormat="false" ht="15.7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</row>
    <row r="842" customFormat="false" ht="15.7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</row>
    <row r="843" customFormat="false" ht="15.7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</row>
    <row r="844" customFormat="false" ht="15.7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</row>
    <row r="845" customFormat="false" ht="15.7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</row>
    <row r="846" customFormat="false" ht="15.7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</row>
    <row r="847" customFormat="false" ht="15.7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</row>
    <row r="848" customFormat="false" ht="15.7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</row>
    <row r="849" customFormat="false" ht="15.7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</row>
    <row r="850" customFormat="false" ht="15.7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</row>
    <row r="851" customFormat="false" ht="15.7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</row>
    <row r="852" customFormat="false" ht="15.7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</row>
    <row r="853" customFormat="false" ht="15.7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</row>
    <row r="854" customFormat="false" ht="15.7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</row>
    <row r="855" customFormat="false" ht="15.7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</row>
    <row r="856" customFormat="false" ht="15.7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</row>
    <row r="857" customFormat="false" ht="15.7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</row>
    <row r="858" customFormat="false" ht="15.7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</row>
    <row r="859" customFormat="false" ht="15.7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</row>
    <row r="860" customFormat="false" ht="15.7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</row>
    <row r="861" customFormat="false" ht="15.7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</row>
    <row r="862" customFormat="false" ht="15.7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</row>
    <row r="863" customFormat="false" ht="15.7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</row>
    <row r="864" customFormat="false" ht="15.7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</row>
    <row r="865" customFormat="false" ht="15.7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</row>
    <row r="866" customFormat="false" ht="15.7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</row>
    <row r="867" customFormat="false" ht="15.7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</row>
    <row r="868" customFormat="false" ht="15.7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</row>
    <row r="869" customFormat="false" ht="15.7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</row>
    <row r="870" customFormat="false" ht="15.7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</row>
    <row r="871" customFormat="false" ht="15.7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</row>
    <row r="872" customFormat="false" ht="15.7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</row>
    <row r="873" customFormat="false" ht="15.7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</row>
    <row r="874" customFormat="false" ht="15.7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</row>
    <row r="875" customFormat="false" ht="15.7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</row>
    <row r="876" customFormat="false" ht="15.7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</row>
    <row r="877" customFormat="false" ht="15.7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</row>
    <row r="878" customFormat="false" ht="15.7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</row>
    <row r="879" customFormat="false" ht="15.7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</row>
    <row r="880" customFormat="false" ht="15.7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</row>
    <row r="881" customFormat="false" ht="15.7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</row>
    <row r="882" customFormat="false" ht="15.7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</row>
    <row r="883" customFormat="false" ht="15.7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</row>
    <row r="884" customFormat="false" ht="15.7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</row>
    <row r="885" customFormat="false" ht="15.7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</row>
    <row r="886" customFormat="false" ht="15.7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</row>
    <row r="887" customFormat="false" ht="15.7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</row>
    <row r="888" customFormat="false" ht="15.7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</row>
    <row r="889" customFormat="false" ht="15.7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</row>
    <row r="890" customFormat="false" ht="15.7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</row>
    <row r="891" customFormat="false" ht="15.7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</row>
    <row r="892" customFormat="false" ht="15.7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</row>
    <row r="893" customFormat="false" ht="15.7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</row>
    <row r="894" customFormat="false" ht="15.7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</row>
    <row r="895" customFormat="false" ht="15.7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</row>
    <row r="896" customFormat="false" ht="15.7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</row>
    <row r="897" customFormat="false" ht="15.7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</row>
    <row r="898" customFormat="false" ht="15.7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</row>
    <row r="899" customFormat="false" ht="15.7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</row>
    <row r="900" customFormat="false" ht="15.7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</row>
    <row r="901" customFormat="false" ht="15.7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</row>
    <row r="902" customFormat="false" ht="15.7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</row>
    <row r="903" customFormat="false" ht="15.7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</row>
    <row r="904" customFormat="false" ht="15.7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</row>
    <row r="905" customFormat="false" ht="15.7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</row>
    <row r="906" customFormat="false" ht="15.7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</row>
    <row r="907" customFormat="false" ht="15.7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</row>
    <row r="908" customFormat="false" ht="15.7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</row>
    <row r="909" customFormat="false" ht="15.7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</row>
    <row r="910" customFormat="false" ht="15.7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</row>
    <row r="911" customFormat="false" ht="15.7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</row>
    <row r="912" customFormat="false" ht="15.7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</row>
    <row r="913" customFormat="false" ht="15.7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</row>
    <row r="914" customFormat="false" ht="15.7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</row>
    <row r="915" customFormat="false" ht="15.7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</row>
    <row r="916" customFormat="false" ht="15.7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</row>
    <row r="917" customFormat="false" ht="15.7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</row>
    <row r="918" customFormat="false" ht="15.7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</row>
    <row r="919" customFormat="false" ht="15.7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</row>
    <row r="920" customFormat="false" ht="15.7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</row>
    <row r="921" customFormat="false" ht="15.7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</row>
    <row r="922" customFormat="false" ht="15.7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</row>
    <row r="923" customFormat="false" ht="15.7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</row>
    <row r="924" customFormat="false" ht="15.7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</row>
    <row r="925" customFormat="false" ht="15.7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</row>
    <row r="926" customFormat="false" ht="15.7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</row>
    <row r="927" customFormat="false" ht="15.7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</row>
    <row r="928" customFormat="false" ht="15.7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</row>
    <row r="929" customFormat="false" ht="15.7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</row>
    <row r="930" customFormat="false" ht="15.7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</row>
    <row r="931" customFormat="false" ht="15.7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</row>
    <row r="932" customFormat="false" ht="15.7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</row>
    <row r="933" customFormat="false" ht="15.7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</row>
    <row r="934" customFormat="false" ht="15.7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</row>
    <row r="935" customFormat="false" ht="15.7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</row>
    <row r="936" customFormat="false" ht="15.7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</row>
    <row r="937" customFormat="false" ht="15.7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</row>
    <row r="938" customFormat="false" ht="15.7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</row>
    <row r="939" customFormat="false" ht="15.7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</row>
    <row r="940" customFormat="false" ht="15.7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</row>
    <row r="941" customFormat="false" ht="15.7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</row>
    <row r="942" customFormat="false" ht="15.7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</row>
    <row r="943" customFormat="false" ht="15.7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</row>
    <row r="944" customFormat="false" ht="15.7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</row>
    <row r="945" customFormat="false" ht="15.7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</row>
    <row r="946" customFormat="false" ht="15.7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</row>
    <row r="947" customFormat="false" ht="15.7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</row>
    <row r="948" customFormat="false" ht="15.7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</row>
    <row r="949" customFormat="false" ht="15.7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</row>
    <row r="950" customFormat="false" ht="15.7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</row>
    <row r="951" customFormat="false" ht="15.7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</row>
    <row r="952" customFormat="false" ht="15.7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</row>
    <row r="953" customFormat="false" ht="15.7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</row>
    <row r="954" customFormat="false" ht="15.7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</row>
    <row r="955" customFormat="false" ht="15.7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</row>
    <row r="956" customFormat="false" ht="15.7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</row>
    <row r="957" customFormat="false" ht="15.7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</row>
    <row r="958" customFormat="false" ht="15.7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</row>
    <row r="959" customFormat="false" ht="15.7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</row>
    <row r="960" customFormat="false" ht="15.7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</row>
    <row r="961" customFormat="false" ht="15.7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</row>
    <row r="962" customFormat="false" ht="15.7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</row>
    <row r="963" customFormat="false" ht="15.7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</row>
    <row r="964" customFormat="false" ht="15.7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</row>
    <row r="965" customFormat="false" ht="15.7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</row>
    <row r="966" customFormat="false" ht="15.7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</row>
    <row r="967" customFormat="false" ht="15.7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</row>
    <row r="968" customFormat="false" ht="15.7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</row>
    <row r="969" customFormat="false" ht="15.7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</row>
    <row r="970" customFormat="false" ht="15.7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</row>
    <row r="971" customFormat="false" ht="15.7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</row>
    <row r="972" customFormat="false" ht="15.7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</row>
    <row r="973" customFormat="false" ht="15.7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</row>
    <row r="974" customFormat="false" ht="15.7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</row>
    <row r="975" customFormat="false" ht="15.7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</row>
    <row r="976" customFormat="false" ht="15.7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</row>
    <row r="977" customFormat="false" ht="15.7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</row>
    <row r="978" customFormat="false" ht="15.7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</row>
    <row r="979" customFormat="false" ht="15.7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</row>
    <row r="980" customFormat="false" ht="15.7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</row>
    <row r="981" customFormat="false" ht="15.7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</row>
    <row r="982" customFormat="false" ht="15.7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</row>
    <row r="983" customFormat="false" ht="15.7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</row>
    <row r="984" customFormat="false" ht="15.7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</row>
    <row r="985" customFormat="false" ht="15.7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</row>
    <row r="986" customFormat="false" ht="15.7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</row>
    <row r="987" customFormat="false" ht="15.7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</row>
    <row r="988" customFormat="false" ht="15.7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</row>
    <row r="989" customFormat="false" ht="15.7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</row>
    <row r="990" customFormat="false" ht="15.7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</row>
    <row r="991" customFormat="false" ht="15.7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</row>
    <row r="992" customFormat="false" ht="15.7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</row>
    <row r="993" customFormat="false" ht="15.7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</row>
    <row r="994" customFormat="false" ht="15.7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</row>
    <row r="995" customFormat="false" ht="15.7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</row>
    <row r="996" customFormat="false" ht="15.7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</row>
    <row r="997" customFormat="false" ht="15.75" hidden="false" customHeight="tru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</row>
    <row r="998" customFormat="false" ht="15.75" hidden="false" customHeight="tru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</row>
    <row r="999" customFormat="false" ht="15.75" hidden="false" customHeight="tru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</row>
    <row r="1000" customFormat="false" ht="15.75" hidden="false" customHeight="tru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</row>
  </sheetData>
  <mergeCells count="29">
    <mergeCell ref="B2:M2"/>
    <mergeCell ref="C4:M4"/>
    <mergeCell ref="C5:M5"/>
    <mergeCell ref="C6:M6"/>
    <mergeCell ref="C7:M7"/>
    <mergeCell ref="C8:M8"/>
    <mergeCell ref="C9:M9"/>
    <mergeCell ref="C10:M10"/>
    <mergeCell ref="B13:M13"/>
    <mergeCell ref="B27:E27"/>
    <mergeCell ref="B31:M31"/>
    <mergeCell ref="B32:M32"/>
    <mergeCell ref="B33:M33"/>
    <mergeCell ref="B34:M34"/>
    <mergeCell ref="B35:M35"/>
    <mergeCell ref="B36:M36"/>
    <mergeCell ref="B37:M37"/>
    <mergeCell ref="B38:M38"/>
    <mergeCell ref="B39:M39"/>
    <mergeCell ref="B40:M40"/>
    <mergeCell ref="B41:M41"/>
    <mergeCell ref="B42:M42"/>
    <mergeCell ref="B43:M43"/>
    <mergeCell ref="B44:M44"/>
    <mergeCell ref="B45:M45"/>
    <mergeCell ref="B46:M46"/>
    <mergeCell ref="B47:M47"/>
    <mergeCell ref="B48:M48"/>
    <mergeCell ref="B49:M49"/>
  </mergeCells>
  <conditionalFormatting sqref="L15:L2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10"/>
    <col collapsed="false" customWidth="true" hidden="false" outlineLevel="0" max="4" min="4" style="1" width="28"/>
    <col collapsed="false" customWidth="true" hidden="false" outlineLevel="0" max="5" min="5" style="1" width="62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26" min="8" style="1" width="8.71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9.7" hidden="false" customHeight="false" outlineLevel="0" collapsed="false">
      <c r="A2" s="2"/>
      <c r="B2" s="3" t="s">
        <v>76</v>
      </c>
      <c r="C2" s="3"/>
      <c r="D2" s="3"/>
      <c r="E2" s="3"/>
      <c r="F2" s="3"/>
      <c r="G2" s="3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2"/>
      <c r="B4" s="4" t="s">
        <v>77</v>
      </c>
      <c r="C4" s="14" t="s">
        <v>78</v>
      </c>
      <c r="D4" s="14"/>
      <c r="E4" s="14"/>
      <c r="F4" s="14"/>
      <c r="G4" s="14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15" hidden="false" customHeight="false" outlineLevel="0" collapsed="false">
      <c r="A5" s="2"/>
      <c r="B5" s="4" t="s">
        <v>79</v>
      </c>
      <c r="C5" s="14" t="s">
        <v>80</v>
      </c>
      <c r="D5" s="14"/>
      <c r="E5" s="14"/>
      <c r="F5" s="14"/>
      <c r="G5" s="14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15" hidden="false" customHeight="false" outlineLevel="0" collapsed="false">
      <c r="A6" s="2"/>
      <c r="B6" s="4" t="s">
        <v>81</v>
      </c>
      <c r="C6" s="14" t="s">
        <v>82</v>
      </c>
      <c r="D6" s="14"/>
      <c r="E6" s="14"/>
      <c r="F6" s="14"/>
      <c r="G6" s="14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15" hidden="false" customHeight="false" outlineLevel="0" collapsed="false">
      <c r="A7" s="2"/>
      <c r="B7" s="4" t="s">
        <v>9</v>
      </c>
      <c r="C7" s="14" t="s">
        <v>10</v>
      </c>
      <c r="D7" s="14"/>
      <c r="E7" s="14"/>
      <c r="F7" s="14"/>
      <c r="G7" s="14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15" hidden="false" customHeight="false" outlineLevel="0" collapsed="false">
      <c r="A8" s="2"/>
      <c r="B8" s="4" t="s">
        <v>83</v>
      </c>
      <c r="C8" s="14" t="s">
        <v>84</v>
      </c>
      <c r="D8" s="14"/>
      <c r="E8" s="14"/>
      <c r="F8" s="14"/>
      <c r="G8" s="14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1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15" hidden="false" customHeight="false" outlineLevel="0" collapsed="false">
      <c r="A10" s="2"/>
      <c r="B10" s="15" t="s">
        <v>85</v>
      </c>
      <c r="C10" s="15"/>
      <c r="D10" s="15"/>
      <c r="E10" s="15"/>
      <c r="F10" s="15"/>
      <c r="G10" s="15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15" hidden="false" customHeight="false" outlineLevel="0" collapsed="false">
      <c r="A11" s="2"/>
      <c r="B11" s="16" t="s">
        <v>16</v>
      </c>
      <c r="C11" s="16" t="s">
        <v>86</v>
      </c>
      <c r="D11" s="16" t="s">
        <v>87</v>
      </c>
      <c r="E11" s="16" t="s">
        <v>88</v>
      </c>
      <c r="F11" s="16" t="s">
        <v>89</v>
      </c>
      <c r="G11" s="16" t="s">
        <v>90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48" hidden="false" customHeight="true" outlineLevel="0" collapsed="false">
      <c r="A12" s="2"/>
      <c r="B12" s="9" t="n">
        <v>1</v>
      </c>
      <c r="C12" s="9" t="s">
        <v>91</v>
      </c>
      <c r="D12" s="17" t="s">
        <v>92</v>
      </c>
      <c r="E12" s="17" t="s">
        <v>93</v>
      </c>
      <c r="F12" s="18" t="s">
        <v>94</v>
      </c>
      <c r="G12" s="8" t="n">
        <f aca="false">'Rincian Harga'!$F$21</f>
        <v>352000</v>
      </c>
    </row>
    <row r="13" customFormat="false" ht="21.75" hidden="false" customHeight="true" outlineLevel="0" collapsed="false">
      <c r="A13" s="2"/>
      <c r="B13" s="9" t="n">
        <v>2</v>
      </c>
      <c r="C13" s="9" t="s">
        <v>95</v>
      </c>
      <c r="D13" s="17" t="s">
        <v>92</v>
      </c>
      <c r="E13" s="17" t="s">
        <v>96</v>
      </c>
      <c r="F13" s="18" t="s">
        <v>94</v>
      </c>
      <c r="G13" s="8" t="n">
        <f aca="false">'Rincian Harga'!$F$28</f>
        <v>100000</v>
      </c>
    </row>
    <row r="14" customFormat="false" ht="21.75" hidden="false" customHeight="true" outlineLevel="0" collapsed="false">
      <c r="A14" s="2"/>
      <c r="B14" s="9" t="n">
        <v>3</v>
      </c>
      <c r="C14" s="9" t="s">
        <v>97</v>
      </c>
      <c r="D14" s="17" t="s">
        <v>92</v>
      </c>
      <c r="E14" s="17" t="s">
        <v>98</v>
      </c>
      <c r="F14" s="18" t="s">
        <v>94</v>
      </c>
      <c r="G14" s="8" t="n">
        <f aca="false">'Rincian Harga'!$F$35</f>
        <v>28000</v>
      </c>
    </row>
    <row r="15" customFormat="false" ht="21.75" hidden="false" customHeight="true" outlineLevel="0" collapsed="false">
      <c r="A15" s="2"/>
      <c r="B15" s="9" t="n">
        <v>4</v>
      </c>
      <c r="C15" s="9" t="s">
        <v>99</v>
      </c>
      <c r="D15" s="17" t="s">
        <v>92</v>
      </c>
      <c r="E15" s="17" t="s">
        <v>100</v>
      </c>
      <c r="F15" s="18" t="s">
        <v>94</v>
      </c>
      <c r="G15" s="8" t="n">
        <f aca="false">'Rincian Harga'!$F$42</f>
        <v>45000</v>
      </c>
    </row>
    <row r="16" customFormat="false" ht="36" hidden="false" customHeight="true" outlineLevel="0" collapsed="false">
      <c r="A16" s="2"/>
      <c r="B16" s="9" t="n">
        <v>5</v>
      </c>
      <c r="C16" s="9" t="s">
        <v>101</v>
      </c>
      <c r="D16" s="17" t="s">
        <v>92</v>
      </c>
      <c r="E16" s="17" t="s">
        <v>102</v>
      </c>
      <c r="F16" s="18" t="s">
        <v>94</v>
      </c>
      <c r="G16" s="8" t="n">
        <f aca="false">'Rincian Harga'!$F$49</f>
        <v>75000</v>
      </c>
    </row>
    <row r="17" customFormat="false" ht="48" hidden="false" customHeight="true" outlineLevel="0" collapsed="false">
      <c r="A17" s="2"/>
      <c r="B17" s="9" t="n">
        <v>6</v>
      </c>
      <c r="C17" s="9" t="s">
        <v>103</v>
      </c>
      <c r="D17" s="17" t="s">
        <v>92</v>
      </c>
      <c r="E17" s="17" t="s">
        <v>104</v>
      </c>
      <c r="F17" s="18" t="s">
        <v>94</v>
      </c>
      <c r="G17" s="8" t="n">
        <f aca="false">'Rincian Harga'!$F$58</f>
        <v>352000</v>
      </c>
    </row>
    <row r="18" customFormat="false" ht="48" hidden="false" customHeight="true" outlineLevel="0" collapsed="false">
      <c r="A18" s="2"/>
      <c r="B18" s="9" t="n">
        <v>7</v>
      </c>
      <c r="C18" s="9" t="s">
        <v>105</v>
      </c>
      <c r="D18" s="17" t="s">
        <v>92</v>
      </c>
      <c r="E18" s="17" t="s">
        <v>106</v>
      </c>
      <c r="F18" s="18" t="s">
        <v>94</v>
      </c>
      <c r="G18" s="8" t="n">
        <f aca="false">'Rincian Harga'!$F$67</f>
        <v>352000</v>
      </c>
    </row>
    <row r="19" customFormat="false" ht="48" hidden="false" customHeight="true" outlineLevel="0" collapsed="false">
      <c r="A19" s="2"/>
      <c r="B19" s="9" t="n">
        <v>8</v>
      </c>
      <c r="C19" s="9" t="s">
        <v>107</v>
      </c>
      <c r="D19" s="17" t="s">
        <v>92</v>
      </c>
      <c r="E19" s="17" t="s">
        <v>108</v>
      </c>
      <c r="F19" s="18" t="s">
        <v>94</v>
      </c>
      <c r="G19" s="8" t="n">
        <f aca="false">'Rincian Harga'!$F$76</f>
        <v>352000</v>
      </c>
    </row>
    <row r="20" customFormat="false" ht="48" hidden="false" customHeight="true" outlineLevel="0" collapsed="false">
      <c r="A20" s="2"/>
      <c r="B20" s="9" t="n">
        <v>9</v>
      </c>
      <c r="C20" s="9" t="s">
        <v>109</v>
      </c>
      <c r="D20" s="17" t="s">
        <v>92</v>
      </c>
      <c r="E20" s="17" t="s">
        <v>110</v>
      </c>
      <c r="F20" s="18" t="s">
        <v>94</v>
      </c>
      <c r="G20" s="8" t="n">
        <f aca="false">'Rincian Harga'!$F$85</f>
        <v>352000</v>
      </c>
    </row>
    <row r="21" customFormat="false" ht="36" hidden="false" customHeight="true" outlineLevel="0" collapsed="false">
      <c r="A21" s="2"/>
      <c r="B21" s="9" t="n">
        <v>10</v>
      </c>
      <c r="C21" s="9" t="s">
        <v>111</v>
      </c>
      <c r="D21" s="17" t="s">
        <v>112</v>
      </c>
      <c r="E21" s="17" t="s">
        <v>113</v>
      </c>
      <c r="F21" s="18" t="s">
        <v>114</v>
      </c>
      <c r="G21" s="8" t="n">
        <f aca="false">'Rincian Harga'!$F$95</f>
        <v>1000000</v>
      </c>
    </row>
    <row r="22" customFormat="false" ht="36" hidden="false" customHeight="true" outlineLevel="0" collapsed="false">
      <c r="A22" s="2"/>
      <c r="B22" s="9" t="n">
        <v>11</v>
      </c>
      <c r="C22" s="9" t="s">
        <v>115</v>
      </c>
      <c r="D22" s="17" t="s">
        <v>112</v>
      </c>
      <c r="E22" s="17" t="s">
        <v>116</v>
      </c>
      <c r="F22" s="18" t="s">
        <v>114</v>
      </c>
      <c r="G22" s="8" t="n">
        <f aca="false">'Rincian Harga'!$F$100</f>
        <v>47500</v>
      </c>
    </row>
    <row r="23" customFormat="false" ht="21.75" hidden="false" customHeight="true" outlineLevel="0" collapsed="false">
      <c r="A23" s="2"/>
      <c r="B23" s="9" t="n">
        <v>12</v>
      </c>
      <c r="C23" s="9" t="s">
        <v>117</v>
      </c>
      <c r="D23" s="17" t="s">
        <v>112</v>
      </c>
      <c r="E23" s="17" t="s">
        <v>118</v>
      </c>
      <c r="F23" s="18" t="s">
        <v>114</v>
      </c>
      <c r="G23" s="8" t="n">
        <f aca="false">'Rincian Harga'!$F$105</f>
        <v>90000</v>
      </c>
    </row>
    <row r="24" customFormat="false" ht="21.75" hidden="false" customHeight="true" outlineLevel="0" collapsed="false">
      <c r="A24" s="2"/>
      <c r="B24" s="9" t="n">
        <v>13</v>
      </c>
      <c r="C24" s="9" t="s">
        <v>119</v>
      </c>
      <c r="D24" s="17" t="s">
        <v>112</v>
      </c>
      <c r="E24" s="17" t="s">
        <v>120</v>
      </c>
      <c r="F24" s="18" t="s">
        <v>114</v>
      </c>
      <c r="G24" s="8" t="n">
        <f aca="false">'Rincian Harga'!$F$110</f>
        <v>130000</v>
      </c>
    </row>
    <row r="25" customFormat="false" ht="36" hidden="false" customHeight="true" outlineLevel="0" collapsed="false">
      <c r="A25" s="2"/>
      <c r="B25" s="9" t="n">
        <v>14</v>
      </c>
      <c r="C25" s="9" t="s">
        <v>121</v>
      </c>
      <c r="D25" s="17" t="s">
        <v>112</v>
      </c>
      <c r="E25" s="17" t="s">
        <v>122</v>
      </c>
      <c r="F25" s="18" t="s">
        <v>114</v>
      </c>
      <c r="G25" s="8" t="n">
        <f aca="false">'Rincian Harga'!$F$117</f>
        <v>700000</v>
      </c>
    </row>
    <row r="26" customFormat="false" ht="36" hidden="false" customHeight="true" outlineLevel="0" collapsed="false">
      <c r="A26" s="2"/>
      <c r="B26" s="9" t="n">
        <v>15</v>
      </c>
      <c r="C26" s="9" t="s">
        <v>123</v>
      </c>
      <c r="D26" s="17" t="s">
        <v>112</v>
      </c>
      <c r="E26" s="17" t="s">
        <v>124</v>
      </c>
      <c r="F26" s="18" t="s">
        <v>114</v>
      </c>
      <c r="G26" s="8" t="n">
        <f aca="false">'Rincian Harga'!$F$125</f>
        <v>1000000</v>
      </c>
    </row>
    <row r="27" customFormat="false" ht="36" hidden="false" customHeight="true" outlineLevel="0" collapsed="false">
      <c r="A27" s="2"/>
      <c r="B27" s="9" t="n">
        <v>16</v>
      </c>
      <c r="C27" s="9" t="s">
        <v>125</v>
      </c>
      <c r="D27" s="17" t="s">
        <v>112</v>
      </c>
      <c r="E27" s="17" t="s">
        <v>126</v>
      </c>
      <c r="F27" s="18" t="s">
        <v>114</v>
      </c>
      <c r="G27" s="8" t="n">
        <f aca="false">'Rincian Harga'!$F$134</f>
        <v>1200000</v>
      </c>
    </row>
    <row r="28" customFormat="false" ht="60" hidden="false" customHeight="true" outlineLevel="0" collapsed="false">
      <c r="A28" s="2"/>
      <c r="B28" s="9" t="n">
        <v>17</v>
      </c>
      <c r="C28" s="9" t="s">
        <v>127</v>
      </c>
      <c r="D28" s="17" t="s">
        <v>112</v>
      </c>
      <c r="E28" s="17" t="s">
        <v>128</v>
      </c>
      <c r="F28" s="18" t="s">
        <v>129</v>
      </c>
      <c r="G28" s="8" t="n">
        <f aca="false">'Rincian Harga'!$F$143</f>
        <v>4500000</v>
      </c>
    </row>
    <row r="29" customFormat="false" ht="48" hidden="false" customHeight="true" outlineLevel="0" collapsed="false">
      <c r="A29" s="2"/>
      <c r="B29" s="9" t="n">
        <v>18</v>
      </c>
      <c r="C29" s="9" t="s">
        <v>130</v>
      </c>
      <c r="D29" s="17" t="s">
        <v>131</v>
      </c>
      <c r="E29" s="17" t="s">
        <v>132</v>
      </c>
      <c r="F29" s="18" t="s">
        <v>133</v>
      </c>
      <c r="G29" s="8" t="n">
        <f aca="false">'Rincian Harga'!$F$155</f>
        <v>24000000</v>
      </c>
    </row>
    <row r="30" customFormat="false" ht="21.75" hidden="false" customHeight="true" outlineLevel="0" collapsed="false">
      <c r="A30" s="2"/>
      <c r="B30" s="9" t="n">
        <v>19</v>
      </c>
      <c r="C30" s="9" t="s">
        <v>134</v>
      </c>
      <c r="D30" s="17" t="s">
        <v>131</v>
      </c>
      <c r="E30" s="17" t="s">
        <v>135</v>
      </c>
      <c r="F30" s="18" t="s">
        <v>136</v>
      </c>
      <c r="G30" s="8" t="n">
        <f aca="false">'Rincian Harga'!$F$162</f>
        <v>1500000</v>
      </c>
    </row>
    <row r="31" customFormat="false" ht="36" hidden="false" customHeight="true" outlineLevel="0" collapsed="false">
      <c r="A31" s="2"/>
      <c r="B31" s="9" t="n">
        <v>20</v>
      </c>
      <c r="C31" s="9" t="s">
        <v>137</v>
      </c>
      <c r="D31" s="17" t="s">
        <v>131</v>
      </c>
      <c r="E31" s="17" t="s">
        <v>138</v>
      </c>
      <c r="F31" s="18" t="s">
        <v>133</v>
      </c>
      <c r="G31" s="8" t="n">
        <f aca="false">'Rincian Harga'!$F$169</f>
        <v>2100000</v>
      </c>
    </row>
    <row r="32" customFormat="false" ht="36" hidden="false" customHeight="true" outlineLevel="0" collapsed="false">
      <c r="A32" s="2"/>
      <c r="B32" s="9" t="n">
        <v>21</v>
      </c>
      <c r="C32" s="9" t="s">
        <v>139</v>
      </c>
      <c r="D32" s="17" t="s">
        <v>131</v>
      </c>
      <c r="E32" s="17" t="s">
        <v>140</v>
      </c>
      <c r="F32" s="18" t="s">
        <v>136</v>
      </c>
      <c r="G32" s="8" t="n">
        <f aca="false">'Rincian Harga'!$F$177</f>
        <v>2500000</v>
      </c>
    </row>
    <row r="33" customFormat="false" ht="36" hidden="false" customHeight="true" outlineLevel="0" collapsed="false">
      <c r="A33" s="2"/>
      <c r="B33" s="9" t="n">
        <v>22</v>
      </c>
      <c r="C33" s="9" t="s">
        <v>141</v>
      </c>
      <c r="D33" s="17" t="s">
        <v>142</v>
      </c>
      <c r="E33" s="17" t="s">
        <v>143</v>
      </c>
      <c r="F33" s="18" t="s">
        <v>133</v>
      </c>
      <c r="G33" s="8" t="n">
        <f aca="false">'Rincian Harga'!$F$186</f>
        <v>12500000</v>
      </c>
    </row>
    <row r="34" customFormat="false" ht="36" hidden="false" customHeight="true" outlineLevel="0" collapsed="false">
      <c r="A34" s="2"/>
      <c r="B34" s="9" t="n">
        <v>23</v>
      </c>
      <c r="C34" s="9" t="s">
        <v>144</v>
      </c>
      <c r="D34" s="17" t="s">
        <v>142</v>
      </c>
      <c r="E34" s="17" t="s">
        <v>145</v>
      </c>
      <c r="F34" s="18" t="s">
        <v>136</v>
      </c>
      <c r="G34" s="8" t="n">
        <f aca="false">'Rincian Harga'!$F$193</f>
        <v>1500000</v>
      </c>
    </row>
    <row r="35" customFormat="false" ht="36" hidden="false" customHeight="true" outlineLevel="0" collapsed="false">
      <c r="A35" s="2"/>
      <c r="B35" s="9" t="n">
        <v>24</v>
      </c>
      <c r="C35" s="9" t="s">
        <v>146</v>
      </c>
      <c r="D35" s="17" t="s">
        <v>142</v>
      </c>
      <c r="E35" s="17" t="s">
        <v>147</v>
      </c>
      <c r="F35" s="18" t="s">
        <v>133</v>
      </c>
      <c r="G35" s="8" t="n">
        <f aca="false">'Rincian Harga'!$F$200</f>
        <v>5000000</v>
      </c>
    </row>
    <row r="36" customFormat="false" ht="36" hidden="false" customHeight="true" outlineLevel="0" collapsed="false">
      <c r="A36" s="2"/>
      <c r="B36" s="9" t="n">
        <v>25</v>
      </c>
      <c r="C36" s="9" t="s">
        <v>148</v>
      </c>
      <c r="D36" s="17" t="s">
        <v>142</v>
      </c>
      <c r="E36" s="17" t="s">
        <v>149</v>
      </c>
      <c r="F36" s="18" t="s">
        <v>136</v>
      </c>
      <c r="G36" s="8" t="n">
        <f aca="false">'Rincian Harga'!$F$208</f>
        <v>1500000</v>
      </c>
    </row>
    <row r="37" customFormat="false" ht="36" hidden="false" customHeight="true" outlineLevel="0" collapsed="false">
      <c r="A37" s="2"/>
      <c r="B37" s="9" t="n">
        <v>26</v>
      </c>
      <c r="C37" s="9" t="s">
        <v>150</v>
      </c>
      <c r="D37" s="17" t="s">
        <v>142</v>
      </c>
      <c r="E37" s="17" t="s">
        <v>151</v>
      </c>
      <c r="F37" s="18" t="s">
        <v>136</v>
      </c>
      <c r="G37" s="8" t="n">
        <f aca="false">'Rincian Harga'!$F$214</f>
        <v>500000</v>
      </c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</row>
    <row r="39" customFormat="false" ht="15.75" hidden="false" customHeight="true" outlineLevel="0" collapsed="false">
      <c r="A39" s="2"/>
      <c r="B39" s="2"/>
      <c r="C39" s="2"/>
      <c r="D39" s="2"/>
      <c r="E39" s="2"/>
      <c r="F39" s="2"/>
      <c r="G39" s="2"/>
    </row>
    <row r="40" customFormat="false" ht="15.75" hidden="false" customHeight="true" outlineLevel="0" collapsed="false">
      <c r="A40" s="2"/>
      <c r="B40" s="2"/>
      <c r="C40" s="2"/>
      <c r="D40" s="2"/>
      <c r="E40" s="2"/>
      <c r="F40" s="2"/>
      <c r="G40" s="2"/>
    </row>
    <row r="41" customFormat="false" ht="15.75" hidden="false" customHeight="true" outlineLevel="0" collapsed="false">
      <c r="A41" s="2"/>
      <c r="B41" s="2"/>
      <c r="C41" s="2"/>
      <c r="D41" s="2"/>
      <c r="E41" s="2"/>
      <c r="F41" s="2"/>
      <c r="G41" s="2"/>
    </row>
    <row r="42" customFormat="false" ht="15.75" hidden="false" customHeight="true" outlineLevel="0" collapsed="false">
      <c r="A42" s="2"/>
      <c r="B42" s="2"/>
      <c r="C42" s="2"/>
      <c r="D42" s="2"/>
      <c r="E42" s="2"/>
      <c r="F42" s="2"/>
      <c r="G42" s="2"/>
    </row>
    <row r="43" customFormat="false" ht="15.75" hidden="false" customHeight="true" outlineLevel="0" collapsed="false">
      <c r="A43" s="2"/>
      <c r="B43" s="2"/>
      <c r="C43" s="2"/>
      <c r="D43" s="2"/>
      <c r="E43" s="2"/>
      <c r="F43" s="2"/>
      <c r="G43" s="2"/>
    </row>
    <row r="44" customFormat="false" ht="15.75" hidden="false" customHeight="true" outlineLevel="0" collapsed="false">
      <c r="A44" s="2"/>
      <c r="B44" s="2"/>
      <c r="C44" s="2"/>
      <c r="D44" s="2"/>
      <c r="E44" s="2"/>
      <c r="F44" s="2"/>
      <c r="G44" s="2"/>
    </row>
    <row r="45" customFormat="false" ht="15.75" hidden="false" customHeight="true" outlineLevel="0" collapsed="false">
      <c r="A45" s="2"/>
      <c r="B45" s="2"/>
      <c r="C45" s="2"/>
      <c r="D45" s="2"/>
      <c r="E45" s="2"/>
      <c r="F45" s="2"/>
      <c r="G45" s="2"/>
    </row>
    <row r="46" customFormat="false" ht="15.75" hidden="false" customHeight="true" outlineLevel="0" collapsed="false">
      <c r="A46" s="2"/>
      <c r="B46" s="2"/>
      <c r="C46" s="2"/>
      <c r="D46" s="2"/>
      <c r="E46" s="2"/>
      <c r="F46" s="2"/>
      <c r="G46" s="2"/>
    </row>
    <row r="47" customFormat="false" ht="15.75" hidden="false" customHeight="true" outlineLevel="0" collapsed="false">
      <c r="A47" s="2"/>
      <c r="B47" s="2"/>
      <c r="C47" s="2"/>
      <c r="D47" s="2"/>
      <c r="E47" s="2"/>
      <c r="F47" s="2"/>
      <c r="G47" s="2"/>
    </row>
    <row r="48" customFormat="false" ht="15.75" hidden="false" customHeight="true" outlineLevel="0" collapsed="false">
      <c r="A48" s="2"/>
      <c r="B48" s="2"/>
      <c r="C48" s="2"/>
      <c r="D48" s="2"/>
      <c r="E48" s="2"/>
      <c r="F48" s="2"/>
      <c r="G48" s="2"/>
    </row>
    <row r="49" customFormat="false" ht="15.75" hidden="false" customHeight="true" outlineLevel="0" collapsed="false">
      <c r="A49" s="2"/>
      <c r="B49" s="2"/>
      <c r="C49" s="2"/>
      <c r="D49" s="2"/>
      <c r="E49" s="2"/>
      <c r="F49" s="2"/>
      <c r="G49" s="2"/>
    </row>
    <row r="50" customFormat="false" ht="15.75" hidden="false" customHeight="true" outlineLevel="0" collapsed="false">
      <c r="A50" s="2"/>
      <c r="B50" s="2"/>
      <c r="C50" s="2"/>
      <c r="D50" s="2"/>
      <c r="E50" s="2"/>
      <c r="F50" s="2"/>
      <c r="G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</row>
    <row r="250" customFormat="false" ht="15.75" hidden="false" customHeight="true" outlineLevel="0" collapsed="false">
      <c r="A250" s="2"/>
      <c r="B250" s="2"/>
      <c r="C250" s="2"/>
      <c r="D250" s="2"/>
      <c r="E250" s="2"/>
      <c r="F250" s="2"/>
      <c r="G250" s="2"/>
    </row>
    <row r="251" customFormat="false" ht="15.75" hidden="false" customHeight="true" outlineLevel="0" collapsed="false">
      <c r="A251" s="2"/>
      <c r="B251" s="2"/>
      <c r="C251" s="2"/>
      <c r="D251" s="2"/>
      <c r="E251" s="2"/>
      <c r="F251" s="2"/>
      <c r="G251" s="2"/>
    </row>
    <row r="252" customFormat="false" ht="15.75" hidden="false" customHeight="true" outlineLevel="0" collapsed="false">
      <c r="A252" s="2"/>
      <c r="B252" s="2"/>
      <c r="C252" s="2"/>
      <c r="D252" s="2"/>
      <c r="E252" s="2"/>
      <c r="F252" s="2"/>
      <c r="G252" s="2"/>
    </row>
    <row r="253" customFormat="false" ht="15.75" hidden="false" customHeight="true" outlineLevel="0" collapsed="false">
      <c r="A253" s="2"/>
      <c r="B253" s="2"/>
      <c r="C253" s="2"/>
      <c r="D253" s="2"/>
      <c r="E253" s="2"/>
      <c r="F253" s="2"/>
      <c r="G253" s="2"/>
    </row>
    <row r="254" customFormat="false" ht="15.75" hidden="false" customHeight="true" outlineLevel="0" collapsed="false">
      <c r="A254" s="2"/>
      <c r="B254" s="2"/>
      <c r="C254" s="2"/>
      <c r="D254" s="2"/>
      <c r="E254" s="2"/>
      <c r="F254" s="2"/>
      <c r="G254" s="2"/>
    </row>
    <row r="255" customFormat="false" ht="15.75" hidden="false" customHeight="true" outlineLevel="0" collapsed="false">
      <c r="A255" s="2"/>
      <c r="B255" s="2"/>
      <c r="C255" s="2"/>
      <c r="D255" s="2"/>
      <c r="E255" s="2"/>
      <c r="F255" s="2"/>
      <c r="G255" s="2"/>
    </row>
    <row r="256" customFormat="false" ht="15.75" hidden="false" customHeight="true" outlineLevel="0" collapsed="false">
      <c r="A256" s="2"/>
      <c r="B256" s="2"/>
      <c r="C256" s="2"/>
      <c r="D256" s="2"/>
      <c r="E256" s="2"/>
      <c r="F256" s="2"/>
      <c r="G256" s="2"/>
    </row>
    <row r="257" customFormat="false" ht="15.75" hidden="false" customHeight="true" outlineLevel="0" collapsed="false">
      <c r="A257" s="2"/>
      <c r="B257" s="2"/>
      <c r="C257" s="2"/>
      <c r="D257" s="2"/>
      <c r="E257" s="2"/>
      <c r="F257" s="2"/>
      <c r="G257" s="2"/>
    </row>
    <row r="258" customFormat="false" ht="15.75" hidden="false" customHeight="true" outlineLevel="0" collapsed="false">
      <c r="A258" s="2"/>
      <c r="B258" s="2"/>
      <c r="C258" s="2"/>
      <c r="D258" s="2"/>
      <c r="E258" s="2"/>
      <c r="F258" s="2"/>
      <c r="G258" s="2"/>
    </row>
    <row r="259" customFormat="false" ht="15.75" hidden="false" customHeight="true" outlineLevel="0" collapsed="false">
      <c r="A259" s="2"/>
      <c r="B259" s="2"/>
      <c r="C259" s="2"/>
      <c r="D259" s="2"/>
      <c r="E259" s="2"/>
      <c r="F259" s="2"/>
      <c r="G259" s="2"/>
    </row>
    <row r="260" customFormat="false" ht="15.75" hidden="false" customHeight="true" outlineLevel="0" collapsed="false">
      <c r="A260" s="2"/>
      <c r="B260" s="2"/>
      <c r="C260" s="2"/>
      <c r="D260" s="2"/>
      <c r="E260" s="2"/>
      <c r="F260" s="2"/>
      <c r="G260" s="2"/>
    </row>
    <row r="261" customFormat="false" ht="15.75" hidden="false" customHeight="true" outlineLevel="0" collapsed="false">
      <c r="A261" s="2"/>
      <c r="B261" s="2"/>
      <c r="C261" s="2"/>
      <c r="D261" s="2"/>
      <c r="E261" s="2"/>
      <c r="F261" s="2"/>
      <c r="G261" s="2"/>
    </row>
    <row r="262" customFormat="false" ht="15.75" hidden="false" customHeight="true" outlineLevel="0" collapsed="false">
      <c r="A262" s="2"/>
      <c r="B262" s="2"/>
      <c r="C262" s="2"/>
      <c r="D262" s="2"/>
      <c r="E262" s="2"/>
      <c r="F262" s="2"/>
      <c r="G262" s="2"/>
    </row>
    <row r="263" customFormat="false" ht="15.75" hidden="false" customHeight="true" outlineLevel="0" collapsed="false">
      <c r="A263" s="2"/>
      <c r="B263" s="2"/>
      <c r="C263" s="2"/>
      <c r="D263" s="2"/>
      <c r="E263" s="2"/>
      <c r="F263" s="2"/>
      <c r="G263" s="2"/>
    </row>
    <row r="264" customFormat="false" ht="15.75" hidden="false" customHeight="true" outlineLevel="0" collapsed="false">
      <c r="A264" s="2"/>
      <c r="B264" s="2"/>
      <c r="C264" s="2"/>
      <c r="D264" s="2"/>
      <c r="E264" s="2"/>
      <c r="F264" s="2"/>
      <c r="G264" s="2"/>
    </row>
    <row r="265" customFormat="false" ht="15.75" hidden="false" customHeight="true" outlineLevel="0" collapsed="false">
      <c r="A265" s="2"/>
      <c r="B265" s="2"/>
      <c r="C265" s="2"/>
      <c r="D265" s="2"/>
      <c r="E265" s="2"/>
      <c r="F265" s="2"/>
      <c r="G265" s="2"/>
    </row>
    <row r="266" customFormat="false" ht="15.75" hidden="false" customHeight="true" outlineLevel="0" collapsed="false">
      <c r="A266" s="2"/>
      <c r="B266" s="2"/>
      <c r="C266" s="2"/>
      <c r="D266" s="2"/>
      <c r="E266" s="2"/>
      <c r="F266" s="2"/>
      <c r="G266" s="2"/>
    </row>
    <row r="267" customFormat="false" ht="15.75" hidden="false" customHeight="true" outlineLevel="0" collapsed="false">
      <c r="A267" s="2"/>
      <c r="B267" s="2"/>
      <c r="C267" s="2"/>
      <c r="D267" s="2"/>
      <c r="E267" s="2"/>
      <c r="F267" s="2"/>
      <c r="G267" s="2"/>
    </row>
    <row r="268" customFormat="false" ht="15.75" hidden="false" customHeight="true" outlineLevel="0" collapsed="false">
      <c r="A268" s="2"/>
      <c r="B268" s="2"/>
      <c r="C268" s="2"/>
      <c r="D268" s="2"/>
      <c r="E268" s="2"/>
      <c r="F268" s="2"/>
      <c r="G268" s="2"/>
    </row>
    <row r="269" customFormat="false" ht="15.75" hidden="false" customHeight="true" outlineLevel="0" collapsed="false">
      <c r="A269" s="2"/>
      <c r="B269" s="2"/>
      <c r="C269" s="2"/>
      <c r="D269" s="2"/>
      <c r="E269" s="2"/>
      <c r="F269" s="2"/>
      <c r="G269" s="2"/>
    </row>
    <row r="270" customFormat="false" ht="15.75" hidden="false" customHeight="true" outlineLevel="0" collapsed="false">
      <c r="A270" s="2"/>
      <c r="B270" s="2"/>
      <c r="C270" s="2"/>
      <c r="D270" s="2"/>
      <c r="E270" s="2"/>
      <c r="F270" s="2"/>
      <c r="G270" s="2"/>
    </row>
    <row r="271" customFormat="false" ht="15.75" hidden="false" customHeight="true" outlineLevel="0" collapsed="false">
      <c r="A271" s="2"/>
      <c r="B271" s="2"/>
      <c r="C271" s="2"/>
      <c r="D271" s="2"/>
      <c r="E271" s="2"/>
      <c r="F271" s="2"/>
      <c r="G271" s="2"/>
    </row>
    <row r="272" customFormat="false" ht="15.75" hidden="false" customHeight="true" outlineLevel="0" collapsed="false">
      <c r="A272" s="2"/>
      <c r="B272" s="2"/>
      <c r="C272" s="2"/>
      <c r="D272" s="2"/>
      <c r="E272" s="2"/>
      <c r="F272" s="2"/>
      <c r="G272" s="2"/>
    </row>
    <row r="273" customFormat="false" ht="15.75" hidden="false" customHeight="true" outlineLevel="0" collapsed="false">
      <c r="A273" s="2"/>
      <c r="B273" s="2"/>
      <c r="C273" s="2"/>
      <c r="D273" s="2"/>
      <c r="E273" s="2"/>
      <c r="F273" s="2"/>
      <c r="G273" s="2"/>
    </row>
    <row r="274" customFormat="false" ht="15.75" hidden="false" customHeight="true" outlineLevel="0" collapsed="false">
      <c r="A274" s="2"/>
      <c r="B274" s="2"/>
      <c r="C274" s="2"/>
      <c r="D274" s="2"/>
      <c r="E274" s="2"/>
      <c r="F274" s="2"/>
      <c r="G274" s="2"/>
    </row>
    <row r="275" customFormat="false" ht="15.75" hidden="false" customHeight="true" outlineLevel="0" collapsed="false">
      <c r="A275" s="2"/>
      <c r="B275" s="2"/>
      <c r="C275" s="2"/>
      <c r="D275" s="2"/>
      <c r="E275" s="2"/>
      <c r="F275" s="2"/>
      <c r="G275" s="2"/>
    </row>
    <row r="276" customFormat="false" ht="15.75" hidden="false" customHeight="true" outlineLevel="0" collapsed="false">
      <c r="A276" s="2"/>
      <c r="B276" s="2"/>
      <c r="C276" s="2"/>
      <c r="D276" s="2"/>
      <c r="E276" s="2"/>
      <c r="F276" s="2"/>
      <c r="G276" s="2"/>
    </row>
    <row r="277" customFormat="false" ht="15.75" hidden="false" customHeight="true" outlineLevel="0" collapsed="false">
      <c r="A277" s="2"/>
      <c r="B277" s="2"/>
      <c r="C277" s="2"/>
      <c r="D277" s="2"/>
      <c r="E277" s="2"/>
      <c r="F277" s="2"/>
      <c r="G277" s="2"/>
    </row>
    <row r="278" customFormat="false" ht="15.75" hidden="false" customHeight="true" outlineLevel="0" collapsed="false">
      <c r="A278" s="2"/>
      <c r="B278" s="2"/>
      <c r="C278" s="2"/>
      <c r="D278" s="2"/>
      <c r="E278" s="2"/>
      <c r="F278" s="2"/>
      <c r="G278" s="2"/>
    </row>
    <row r="279" customFormat="false" ht="15.75" hidden="false" customHeight="true" outlineLevel="0" collapsed="false">
      <c r="A279" s="2"/>
      <c r="B279" s="2"/>
      <c r="C279" s="2"/>
      <c r="D279" s="2"/>
      <c r="E279" s="2"/>
      <c r="F279" s="2"/>
      <c r="G279" s="2"/>
    </row>
    <row r="280" customFormat="false" ht="15.75" hidden="false" customHeight="true" outlineLevel="0" collapsed="false">
      <c r="A280" s="2"/>
      <c r="B280" s="2"/>
      <c r="C280" s="2"/>
      <c r="D280" s="2"/>
      <c r="E280" s="2"/>
      <c r="F280" s="2"/>
      <c r="G280" s="2"/>
    </row>
    <row r="281" customFormat="false" ht="15.75" hidden="false" customHeight="true" outlineLevel="0" collapsed="false">
      <c r="A281" s="2"/>
      <c r="B281" s="2"/>
      <c r="C281" s="2"/>
      <c r="D281" s="2"/>
      <c r="E281" s="2"/>
      <c r="F281" s="2"/>
      <c r="G281" s="2"/>
    </row>
    <row r="282" customFormat="false" ht="15.75" hidden="false" customHeight="true" outlineLevel="0" collapsed="false">
      <c r="A282" s="2"/>
      <c r="B282" s="2"/>
      <c r="C282" s="2"/>
      <c r="D282" s="2"/>
      <c r="E282" s="2"/>
      <c r="F282" s="2"/>
      <c r="G282" s="2"/>
    </row>
    <row r="283" customFormat="false" ht="15.75" hidden="false" customHeight="true" outlineLevel="0" collapsed="false">
      <c r="A283" s="2"/>
      <c r="B283" s="2"/>
      <c r="C283" s="2"/>
      <c r="D283" s="2"/>
      <c r="E283" s="2"/>
      <c r="F283" s="2"/>
      <c r="G283" s="2"/>
    </row>
    <row r="284" customFormat="false" ht="15.75" hidden="false" customHeight="true" outlineLevel="0" collapsed="false">
      <c r="A284" s="2"/>
      <c r="B284" s="2"/>
      <c r="C284" s="2"/>
      <c r="D284" s="2"/>
      <c r="E284" s="2"/>
      <c r="F284" s="2"/>
      <c r="G284" s="2"/>
    </row>
    <row r="285" customFormat="false" ht="15.75" hidden="false" customHeight="true" outlineLevel="0" collapsed="false">
      <c r="A285" s="2"/>
      <c r="B285" s="2"/>
      <c r="C285" s="2"/>
      <c r="D285" s="2"/>
      <c r="E285" s="2"/>
      <c r="F285" s="2"/>
      <c r="G285" s="2"/>
    </row>
    <row r="286" customFormat="false" ht="15.75" hidden="false" customHeight="true" outlineLevel="0" collapsed="false">
      <c r="A286" s="2"/>
      <c r="B286" s="2"/>
      <c r="C286" s="2"/>
      <c r="D286" s="2"/>
      <c r="E286" s="2"/>
      <c r="F286" s="2"/>
      <c r="G286" s="2"/>
    </row>
    <row r="287" customFormat="false" ht="15.75" hidden="false" customHeight="true" outlineLevel="0" collapsed="false">
      <c r="A287" s="2"/>
      <c r="B287" s="2"/>
      <c r="C287" s="2"/>
      <c r="D287" s="2"/>
      <c r="E287" s="2"/>
      <c r="F287" s="2"/>
      <c r="G287" s="2"/>
    </row>
    <row r="288" customFormat="false" ht="15.75" hidden="false" customHeight="true" outlineLevel="0" collapsed="false">
      <c r="A288" s="2"/>
      <c r="B288" s="2"/>
      <c r="C288" s="2"/>
      <c r="D288" s="2"/>
      <c r="E288" s="2"/>
      <c r="F288" s="2"/>
      <c r="G288" s="2"/>
    </row>
    <row r="289" customFormat="false" ht="15.75" hidden="false" customHeight="true" outlineLevel="0" collapsed="false">
      <c r="A289" s="2"/>
      <c r="B289" s="2"/>
      <c r="C289" s="2"/>
      <c r="D289" s="2"/>
      <c r="E289" s="2"/>
      <c r="F289" s="2"/>
      <c r="G289" s="2"/>
    </row>
    <row r="290" customFormat="false" ht="15.75" hidden="false" customHeight="true" outlineLevel="0" collapsed="false">
      <c r="A290" s="2"/>
      <c r="B290" s="2"/>
      <c r="C290" s="2"/>
      <c r="D290" s="2"/>
      <c r="E290" s="2"/>
      <c r="F290" s="2"/>
      <c r="G290" s="2"/>
    </row>
    <row r="291" customFormat="false" ht="15.75" hidden="false" customHeight="true" outlineLevel="0" collapsed="false">
      <c r="A291" s="2"/>
      <c r="B291" s="2"/>
      <c r="C291" s="2"/>
      <c r="D291" s="2"/>
      <c r="E291" s="2"/>
      <c r="F291" s="2"/>
      <c r="G291" s="2"/>
    </row>
    <row r="292" customFormat="false" ht="15.75" hidden="false" customHeight="true" outlineLevel="0" collapsed="false">
      <c r="A292" s="2"/>
      <c r="B292" s="2"/>
      <c r="C292" s="2"/>
      <c r="D292" s="2"/>
      <c r="E292" s="2"/>
      <c r="F292" s="2"/>
      <c r="G292" s="2"/>
    </row>
    <row r="293" customFormat="false" ht="15.75" hidden="false" customHeight="true" outlineLevel="0" collapsed="false">
      <c r="A293" s="2"/>
      <c r="B293" s="2"/>
      <c r="C293" s="2"/>
      <c r="D293" s="2"/>
      <c r="E293" s="2"/>
      <c r="F293" s="2"/>
      <c r="G293" s="2"/>
    </row>
    <row r="294" customFormat="false" ht="15.75" hidden="false" customHeight="true" outlineLevel="0" collapsed="false">
      <c r="A294" s="2"/>
      <c r="B294" s="2"/>
      <c r="C294" s="2"/>
      <c r="D294" s="2"/>
      <c r="E294" s="2"/>
      <c r="F294" s="2"/>
      <c r="G294" s="2"/>
    </row>
    <row r="295" customFormat="false" ht="15.75" hidden="false" customHeight="true" outlineLevel="0" collapsed="false">
      <c r="A295" s="2"/>
      <c r="B295" s="2"/>
      <c r="C295" s="2"/>
      <c r="D295" s="2"/>
      <c r="E295" s="2"/>
      <c r="F295" s="2"/>
      <c r="G295" s="2"/>
    </row>
    <row r="296" customFormat="false" ht="15.75" hidden="false" customHeight="true" outlineLevel="0" collapsed="false">
      <c r="A296" s="2"/>
      <c r="B296" s="2"/>
      <c r="C296" s="2"/>
      <c r="D296" s="2"/>
      <c r="E296" s="2"/>
      <c r="F296" s="2"/>
      <c r="G296" s="2"/>
    </row>
    <row r="297" customFormat="false" ht="15.75" hidden="false" customHeight="true" outlineLevel="0" collapsed="false">
      <c r="A297" s="2"/>
      <c r="B297" s="2"/>
      <c r="C297" s="2"/>
      <c r="D297" s="2"/>
      <c r="E297" s="2"/>
      <c r="F297" s="2"/>
      <c r="G297" s="2"/>
    </row>
    <row r="298" customFormat="false" ht="15.75" hidden="false" customHeight="true" outlineLevel="0" collapsed="false">
      <c r="A298" s="2"/>
      <c r="B298" s="2"/>
      <c r="C298" s="2"/>
      <c r="D298" s="2"/>
      <c r="E298" s="2"/>
      <c r="F298" s="2"/>
      <c r="G298" s="2"/>
    </row>
    <row r="299" customFormat="false" ht="15.75" hidden="false" customHeight="true" outlineLevel="0" collapsed="false">
      <c r="A299" s="2"/>
      <c r="B299" s="2"/>
      <c r="C299" s="2"/>
      <c r="D299" s="2"/>
      <c r="E299" s="2"/>
      <c r="F299" s="2"/>
      <c r="G299" s="2"/>
    </row>
    <row r="300" customFormat="false" ht="15.75" hidden="false" customHeight="true" outlineLevel="0" collapsed="false">
      <c r="A300" s="2"/>
      <c r="B300" s="2"/>
      <c r="C300" s="2"/>
      <c r="D300" s="2"/>
      <c r="E300" s="2"/>
      <c r="F300" s="2"/>
      <c r="G300" s="2"/>
    </row>
    <row r="301" customFormat="false" ht="15.75" hidden="false" customHeight="true" outlineLevel="0" collapsed="false">
      <c r="A301" s="2"/>
      <c r="B301" s="2"/>
      <c r="C301" s="2"/>
      <c r="D301" s="2"/>
      <c r="E301" s="2"/>
      <c r="F301" s="2"/>
      <c r="G301" s="2"/>
    </row>
    <row r="302" customFormat="false" ht="15.75" hidden="false" customHeight="true" outlineLevel="0" collapsed="false">
      <c r="A302" s="2"/>
      <c r="B302" s="2"/>
      <c r="C302" s="2"/>
      <c r="D302" s="2"/>
      <c r="E302" s="2"/>
      <c r="F302" s="2"/>
      <c r="G302" s="2"/>
    </row>
    <row r="303" customFormat="false" ht="15.75" hidden="false" customHeight="true" outlineLevel="0" collapsed="false">
      <c r="A303" s="2"/>
      <c r="B303" s="2"/>
      <c r="C303" s="2"/>
      <c r="D303" s="2"/>
      <c r="E303" s="2"/>
      <c r="F303" s="2"/>
      <c r="G303" s="2"/>
    </row>
    <row r="304" customFormat="false" ht="15.75" hidden="false" customHeight="true" outlineLevel="0" collapsed="false">
      <c r="A304" s="2"/>
      <c r="B304" s="2"/>
      <c r="C304" s="2"/>
      <c r="D304" s="2"/>
      <c r="E304" s="2"/>
      <c r="F304" s="2"/>
      <c r="G304" s="2"/>
    </row>
    <row r="305" customFormat="false" ht="15.75" hidden="false" customHeight="true" outlineLevel="0" collapsed="false">
      <c r="A305" s="2"/>
      <c r="B305" s="2"/>
      <c r="C305" s="2"/>
      <c r="D305" s="2"/>
      <c r="E305" s="2"/>
      <c r="F305" s="2"/>
      <c r="G305" s="2"/>
    </row>
    <row r="306" customFormat="false" ht="15.75" hidden="false" customHeight="true" outlineLevel="0" collapsed="false">
      <c r="A306" s="2"/>
      <c r="B306" s="2"/>
      <c r="C306" s="2"/>
      <c r="D306" s="2"/>
      <c r="E306" s="2"/>
      <c r="F306" s="2"/>
      <c r="G306" s="2"/>
    </row>
    <row r="307" customFormat="false" ht="15.75" hidden="false" customHeight="true" outlineLevel="0" collapsed="false">
      <c r="A307" s="2"/>
      <c r="B307" s="2"/>
      <c r="C307" s="2"/>
      <c r="D307" s="2"/>
      <c r="E307" s="2"/>
      <c r="F307" s="2"/>
      <c r="G307" s="2"/>
    </row>
    <row r="308" customFormat="false" ht="15.75" hidden="false" customHeight="true" outlineLevel="0" collapsed="false">
      <c r="A308" s="2"/>
      <c r="B308" s="2"/>
      <c r="C308" s="2"/>
      <c r="D308" s="2"/>
      <c r="E308" s="2"/>
      <c r="F308" s="2"/>
      <c r="G308" s="2"/>
    </row>
    <row r="309" customFormat="false" ht="15.75" hidden="false" customHeight="true" outlineLevel="0" collapsed="false">
      <c r="A309" s="2"/>
      <c r="B309" s="2"/>
      <c r="C309" s="2"/>
      <c r="D309" s="2"/>
      <c r="E309" s="2"/>
      <c r="F309" s="2"/>
      <c r="G309" s="2"/>
    </row>
    <row r="310" customFormat="false" ht="15.75" hidden="false" customHeight="true" outlineLevel="0" collapsed="false">
      <c r="A310" s="2"/>
      <c r="B310" s="2"/>
      <c r="C310" s="2"/>
      <c r="D310" s="2"/>
      <c r="E310" s="2"/>
      <c r="F310" s="2"/>
      <c r="G310" s="2"/>
    </row>
    <row r="311" customFormat="false" ht="15.75" hidden="false" customHeight="true" outlineLevel="0" collapsed="false">
      <c r="A311" s="2"/>
      <c r="B311" s="2"/>
      <c r="C311" s="2"/>
      <c r="D311" s="2"/>
      <c r="E311" s="2"/>
      <c r="F311" s="2"/>
      <c r="G311" s="2"/>
    </row>
    <row r="312" customFormat="false" ht="15.75" hidden="false" customHeight="true" outlineLevel="0" collapsed="false">
      <c r="A312" s="2"/>
      <c r="B312" s="2"/>
      <c r="C312" s="2"/>
      <c r="D312" s="2"/>
      <c r="E312" s="2"/>
      <c r="F312" s="2"/>
      <c r="G312" s="2"/>
    </row>
    <row r="313" customFormat="false" ht="15.75" hidden="false" customHeight="true" outlineLevel="0" collapsed="false">
      <c r="A313" s="2"/>
      <c r="B313" s="2"/>
      <c r="C313" s="2"/>
      <c r="D313" s="2"/>
      <c r="E313" s="2"/>
      <c r="F313" s="2"/>
      <c r="G313" s="2"/>
    </row>
    <row r="314" customFormat="false" ht="15.75" hidden="false" customHeight="true" outlineLevel="0" collapsed="false">
      <c r="A314" s="2"/>
      <c r="B314" s="2"/>
      <c r="C314" s="2"/>
      <c r="D314" s="2"/>
      <c r="E314" s="2"/>
      <c r="F314" s="2"/>
      <c r="G314" s="2"/>
    </row>
    <row r="315" customFormat="false" ht="15.75" hidden="false" customHeight="true" outlineLevel="0" collapsed="false">
      <c r="A315" s="2"/>
      <c r="B315" s="2"/>
      <c r="C315" s="2"/>
      <c r="D315" s="2"/>
      <c r="E315" s="2"/>
      <c r="F315" s="2"/>
      <c r="G315" s="2"/>
    </row>
    <row r="316" customFormat="false" ht="15.75" hidden="false" customHeight="true" outlineLevel="0" collapsed="false">
      <c r="A316" s="2"/>
      <c r="B316" s="2"/>
      <c r="C316" s="2"/>
      <c r="D316" s="2"/>
      <c r="E316" s="2"/>
      <c r="F316" s="2"/>
      <c r="G316" s="2"/>
    </row>
    <row r="317" customFormat="false" ht="15.75" hidden="false" customHeight="true" outlineLevel="0" collapsed="false">
      <c r="A317" s="2"/>
      <c r="B317" s="2"/>
      <c r="C317" s="2"/>
      <c r="D317" s="2"/>
      <c r="E317" s="2"/>
      <c r="F317" s="2"/>
      <c r="G317" s="2"/>
    </row>
    <row r="318" customFormat="false" ht="15.75" hidden="false" customHeight="true" outlineLevel="0" collapsed="false">
      <c r="A318" s="2"/>
      <c r="B318" s="2"/>
      <c r="C318" s="2"/>
      <c r="D318" s="2"/>
      <c r="E318" s="2"/>
      <c r="F318" s="2"/>
      <c r="G318" s="2"/>
    </row>
    <row r="319" customFormat="false" ht="15.75" hidden="false" customHeight="true" outlineLevel="0" collapsed="false">
      <c r="A319" s="2"/>
      <c r="B319" s="2"/>
      <c r="C319" s="2"/>
      <c r="D319" s="2"/>
      <c r="E319" s="2"/>
      <c r="F319" s="2"/>
      <c r="G319" s="2"/>
    </row>
    <row r="320" customFormat="false" ht="15.75" hidden="false" customHeight="true" outlineLevel="0" collapsed="false">
      <c r="A320" s="2"/>
      <c r="B320" s="2"/>
      <c r="C320" s="2"/>
      <c r="D320" s="2"/>
      <c r="E320" s="2"/>
      <c r="F320" s="2"/>
      <c r="G320" s="2"/>
    </row>
    <row r="321" customFormat="false" ht="15.75" hidden="false" customHeight="true" outlineLevel="0" collapsed="false">
      <c r="A321" s="2"/>
      <c r="B321" s="2"/>
      <c r="C321" s="2"/>
      <c r="D321" s="2"/>
      <c r="E321" s="2"/>
      <c r="F321" s="2"/>
      <c r="G321" s="2"/>
    </row>
    <row r="322" customFormat="false" ht="15.75" hidden="false" customHeight="true" outlineLevel="0" collapsed="false">
      <c r="A322" s="2"/>
      <c r="B322" s="2"/>
      <c r="C322" s="2"/>
      <c r="D322" s="2"/>
      <c r="E322" s="2"/>
      <c r="F322" s="2"/>
      <c r="G322" s="2"/>
    </row>
    <row r="323" customFormat="false" ht="15.75" hidden="false" customHeight="true" outlineLevel="0" collapsed="false">
      <c r="A323" s="2"/>
      <c r="B323" s="2"/>
      <c r="C323" s="2"/>
      <c r="D323" s="2"/>
      <c r="E323" s="2"/>
      <c r="F323" s="2"/>
      <c r="G323" s="2"/>
    </row>
    <row r="324" customFormat="false" ht="15.75" hidden="false" customHeight="true" outlineLevel="0" collapsed="false">
      <c r="A324" s="2"/>
      <c r="B324" s="2"/>
      <c r="C324" s="2"/>
      <c r="D324" s="2"/>
      <c r="E324" s="2"/>
      <c r="F324" s="2"/>
      <c r="G324" s="2"/>
    </row>
    <row r="325" customFormat="false" ht="15.75" hidden="false" customHeight="true" outlineLevel="0" collapsed="false">
      <c r="A325" s="2"/>
      <c r="B325" s="2"/>
      <c r="C325" s="2"/>
      <c r="D325" s="2"/>
      <c r="E325" s="2"/>
      <c r="F325" s="2"/>
      <c r="G325" s="2"/>
    </row>
    <row r="326" customFormat="false" ht="15.75" hidden="false" customHeight="true" outlineLevel="0" collapsed="false">
      <c r="A326" s="2"/>
      <c r="B326" s="2"/>
      <c r="C326" s="2"/>
      <c r="D326" s="2"/>
      <c r="E326" s="2"/>
      <c r="F326" s="2"/>
      <c r="G326" s="2"/>
    </row>
    <row r="327" customFormat="false" ht="15.75" hidden="false" customHeight="true" outlineLevel="0" collapsed="false">
      <c r="A327" s="2"/>
      <c r="B327" s="2"/>
      <c r="C327" s="2"/>
      <c r="D327" s="2"/>
      <c r="E327" s="2"/>
      <c r="F327" s="2"/>
      <c r="G327" s="2"/>
    </row>
    <row r="328" customFormat="false" ht="15.75" hidden="false" customHeight="true" outlineLevel="0" collapsed="false">
      <c r="A328" s="2"/>
      <c r="B328" s="2"/>
      <c r="C328" s="2"/>
      <c r="D328" s="2"/>
      <c r="E328" s="2"/>
      <c r="F328" s="2"/>
      <c r="G328" s="2"/>
    </row>
    <row r="329" customFormat="false" ht="15.75" hidden="false" customHeight="true" outlineLevel="0" collapsed="false">
      <c r="A329" s="2"/>
      <c r="B329" s="2"/>
      <c r="C329" s="2"/>
      <c r="D329" s="2"/>
      <c r="E329" s="2"/>
      <c r="F329" s="2"/>
      <c r="G329" s="2"/>
    </row>
    <row r="330" customFormat="false" ht="15.75" hidden="false" customHeight="true" outlineLevel="0" collapsed="false">
      <c r="A330" s="2"/>
      <c r="B330" s="2"/>
      <c r="C330" s="2"/>
      <c r="D330" s="2"/>
      <c r="E330" s="2"/>
      <c r="F330" s="2"/>
      <c r="G330" s="2"/>
    </row>
    <row r="331" customFormat="false" ht="15.75" hidden="false" customHeight="true" outlineLevel="0" collapsed="false">
      <c r="A331" s="2"/>
      <c r="B331" s="2"/>
      <c r="C331" s="2"/>
      <c r="D331" s="2"/>
      <c r="E331" s="2"/>
      <c r="F331" s="2"/>
      <c r="G331" s="2"/>
    </row>
    <row r="332" customFormat="false" ht="15.75" hidden="false" customHeight="true" outlineLevel="0" collapsed="false">
      <c r="A332" s="2"/>
      <c r="B332" s="2"/>
      <c r="C332" s="2"/>
      <c r="D332" s="2"/>
      <c r="E332" s="2"/>
      <c r="F332" s="2"/>
      <c r="G332" s="2"/>
    </row>
    <row r="333" customFormat="false" ht="15.75" hidden="false" customHeight="true" outlineLevel="0" collapsed="false">
      <c r="A333" s="2"/>
      <c r="B333" s="2"/>
      <c r="C333" s="2"/>
      <c r="D333" s="2"/>
      <c r="E333" s="2"/>
      <c r="F333" s="2"/>
      <c r="G333" s="2"/>
    </row>
    <row r="334" customFormat="false" ht="15.75" hidden="false" customHeight="true" outlineLevel="0" collapsed="false">
      <c r="A334" s="2"/>
      <c r="B334" s="2"/>
      <c r="C334" s="2"/>
      <c r="D334" s="2"/>
      <c r="E334" s="2"/>
      <c r="F334" s="2"/>
      <c r="G334" s="2"/>
    </row>
    <row r="335" customFormat="false" ht="15.75" hidden="false" customHeight="true" outlineLevel="0" collapsed="false">
      <c r="A335" s="2"/>
      <c r="B335" s="2"/>
      <c r="C335" s="2"/>
      <c r="D335" s="2"/>
      <c r="E335" s="2"/>
      <c r="F335" s="2"/>
      <c r="G335" s="2"/>
    </row>
    <row r="336" customFormat="false" ht="15.75" hidden="false" customHeight="true" outlineLevel="0" collapsed="false">
      <c r="A336" s="2"/>
      <c r="B336" s="2"/>
      <c r="C336" s="2"/>
      <c r="D336" s="2"/>
      <c r="E336" s="2"/>
      <c r="F336" s="2"/>
      <c r="G336" s="2"/>
    </row>
    <row r="337" customFormat="false" ht="15.75" hidden="false" customHeight="true" outlineLevel="0" collapsed="false">
      <c r="A337" s="2"/>
      <c r="B337" s="2"/>
      <c r="C337" s="2"/>
      <c r="D337" s="2"/>
      <c r="E337" s="2"/>
      <c r="F337" s="2"/>
      <c r="G337" s="2"/>
    </row>
    <row r="338" customFormat="false" ht="15.75" hidden="false" customHeight="true" outlineLevel="0" collapsed="false">
      <c r="A338" s="2"/>
      <c r="B338" s="2"/>
      <c r="C338" s="2"/>
      <c r="D338" s="2"/>
      <c r="E338" s="2"/>
      <c r="F338" s="2"/>
      <c r="G338" s="2"/>
    </row>
    <row r="339" customFormat="false" ht="15.75" hidden="false" customHeight="true" outlineLevel="0" collapsed="false">
      <c r="A339" s="2"/>
      <c r="B339" s="2"/>
      <c r="C339" s="2"/>
      <c r="D339" s="2"/>
      <c r="E339" s="2"/>
      <c r="F339" s="2"/>
      <c r="G339" s="2"/>
    </row>
    <row r="340" customFormat="false" ht="15.75" hidden="false" customHeight="true" outlineLevel="0" collapsed="false">
      <c r="A340" s="2"/>
      <c r="B340" s="2"/>
      <c r="C340" s="2"/>
      <c r="D340" s="2"/>
      <c r="E340" s="2"/>
      <c r="F340" s="2"/>
      <c r="G340" s="2"/>
    </row>
    <row r="341" customFormat="false" ht="15.75" hidden="false" customHeight="true" outlineLevel="0" collapsed="false">
      <c r="A341" s="2"/>
      <c r="B341" s="2"/>
      <c r="C341" s="2"/>
      <c r="D341" s="2"/>
      <c r="E341" s="2"/>
      <c r="F341" s="2"/>
      <c r="G341" s="2"/>
    </row>
    <row r="342" customFormat="false" ht="15.75" hidden="false" customHeight="true" outlineLevel="0" collapsed="false">
      <c r="A342" s="2"/>
      <c r="B342" s="2"/>
      <c r="C342" s="2"/>
      <c r="D342" s="2"/>
      <c r="E342" s="2"/>
      <c r="F342" s="2"/>
      <c r="G342" s="2"/>
    </row>
    <row r="343" customFormat="false" ht="15.75" hidden="false" customHeight="true" outlineLevel="0" collapsed="false">
      <c r="A343" s="2"/>
      <c r="B343" s="2"/>
      <c r="C343" s="2"/>
      <c r="D343" s="2"/>
      <c r="E343" s="2"/>
      <c r="F343" s="2"/>
      <c r="G343" s="2"/>
    </row>
    <row r="344" customFormat="false" ht="15.75" hidden="false" customHeight="true" outlineLevel="0" collapsed="false">
      <c r="A344" s="2"/>
      <c r="B344" s="2"/>
      <c r="C344" s="2"/>
      <c r="D344" s="2"/>
      <c r="E344" s="2"/>
      <c r="F344" s="2"/>
      <c r="G344" s="2"/>
    </row>
    <row r="345" customFormat="false" ht="15.75" hidden="false" customHeight="true" outlineLevel="0" collapsed="false">
      <c r="A345" s="2"/>
      <c r="B345" s="2"/>
      <c r="C345" s="2"/>
      <c r="D345" s="2"/>
      <c r="E345" s="2"/>
      <c r="F345" s="2"/>
      <c r="G345" s="2"/>
    </row>
    <row r="346" customFormat="false" ht="15.75" hidden="false" customHeight="true" outlineLevel="0" collapsed="false">
      <c r="A346" s="2"/>
      <c r="B346" s="2"/>
      <c r="C346" s="2"/>
      <c r="D346" s="2"/>
      <c r="E346" s="2"/>
      <c r="F346" s="2"/>
      <c r="G346" s="2"/>
    </row>
    <row r="347" customFormat="false" ht="15.75" hidden="false" customHeight="true" outlineLevel="0" collapsed="false">
      <c r="A347" s="2"/>
      <c r="B347" s="2"/>
      <c r="C347" s="2"/>
      <c r="D347" s="2"/>
      <c r="E347" s="2"/>
      <c r="F347" s="2"/>
      <c r="G347" s="2"/>
    </row>
    <row r="348" customFormat="false" ht="15.75" hidden="false" customHeight="true" outlineLevel="0" collapsed="false">
      <c r="A348" s="2"/>
      <c r="B348" s="2"/>
      <c r="C348" s="2"/>
      <c r="D348" s="2"/>
      <c r="E348" s="2"/>
      <c r="F348" s="2"/>
      <c r="G348" s="2"/>
    </row>
    <row r="349" customFormat="false" ht="15.75" hidden="false" customHeight="true" outlineLevel="0" collapsed="false">
      <c r="A349" s="2"/>
      <c r="B349" s="2"/>
      <c r="C349" s="2"/>
      <c r="D349" s="2"/>
      <c r="E349" s="2"/>
      <c r="F349" s="2"/>
      <c r="G349" s="2"/>
    </row>
    <row r="350" customFormat="false" ht="15.75" hidden="false" customHeight="true" outlineLevel="0" collapsed="false">
      <c r="A350" s="2"/>
      <c r="B350" s="2"/>
      <c r="C350" s="2"/>
      <c r="D350" s="2"/>
      <c r="E350" s="2"/>
      <c r="F350" s="2"/>
      <c r="G350" s="2"/>
    </row>
    <row r="351" customFormat="false" ht="15.75" hidden="false" customHeight="true" outlineLevel="0" collapsed="false">
      <c r="A351" s="2"/>
      <c r="B351" s="2"/>
      <c r="C351" s="2"/>
      <c r="D351" s="2"/>
      <c r="E351" s="2"/>
      <c r="F351" s="2"/>
      <c r="G351" s="2"/>
    </row>
    <row r="352" customFormat="false" ht="15.75" hidden="false" customHeight="true" outlineLevel="0" collapsed="false">
      <c r="A352" s="2"/>
      <c r="B352" s="2"/>
      <c r="C352" s="2"/>
      <c r="D352" s="2"/>
      <c r="E352" s="2"/>
      <c r="F352" s="2"/>
      <c r="G352" s="2"/>
    </row>
    <row r="353" customFormat="false" ht="15.75" hidden="false" customHeight="true" outlineLevel="0" collapsed="false">
      <c r="A353" s="2"/>
      <c r="B353" s="2"/>
      <c r="C353" s="2"/>
      <c r="D353" s="2"/>
      <c r="E353" s="2"/>
      <c r="F353" s="2"/>
      <c r="G353" s="2"/>
    </row>
    <row r="354" customFormat="false" ht="15.75" hidden="false" customHeight="true" outlineLevel="0" collapsed="false">
      <c r="A354" s="2"/>
      <c r="B354" s="2"/>
      <c r="C354" s="2"/>
      <c r="D354" s="2"/>
      <c r="E354" s="2"/>
      <c r="F354" s="2"/>
      <c r="G354" s="2"/>
    </row>
    <row r="355" customFormat="false" ht="15.75" hidden="false" customHeight="true" outlineLevel="0" collapsed="false">
      <c r="A355" s="2"/>
      <c r="B355" s="2"/>
      <c r="C355" s="2"/>
      <c r="D355" s="2"/>
      <c r="E355" s="2"/>
      <c r="F355" s="2"/>
      <c r="G355" s="2"/>
    </row>
    <row r="356" customFormat="false" ht="15.75" hidden="false" customHeight="true" outlineLevel="0" collapsed="false">
      <c r="A356" s="2"/>
      <c r="B356" s="2"/>
      <c r="C356" s="2"/>
      <c r="D356" s="2"/>
      <c r="E356" s="2"/>
      <c r="F356" s="2"/>
      <c r="G356" s="2"/>
    </row>
    <row r="357" customFormat="false" ht="15.75" hidden="false" customHeight="true" outlineLevel="0" collapsed="false">
      <c r="A357" s="2"/>
      <c r="B357" s="2"/>
      <c r="C357" s="2"/>
      <c r="D357" s="2"/>
      <c r="E357" s="2"/>
      <c r="F357" s="2"/>
      <c r="G357" s="2"/>
    </row>
    <row r="358" customFormat="false" ht="15.75" hidden="false" customHeight="true" outlineLevel="0" collapsed="false">
      <c r="A358" s="2"/>
      <c r="B358" s="2"/>
      <c r="C358" s="2"/>
      <c r="D358" s="2"/>
      <c r="E358" s="2"/>
      <c r="F358" s="2"/>
      <c r="G358" s="2"/>
    </row>
    <row r="359" customFormat="false" ht="15.75" hidden="false" customHeight="true" outlineLevel="0" collapsed="false">
      <c r="A359" s="2"/>
      <c r="B359" s="2"/>
      <c r="C359" s="2"/>
      <c r="D359" s="2"/>
      <c r="E359" s="2"/>
      <c r="F359" s="2"/>
      <c r="G359" s="2"/>
    </row>
    <row r="360" customFormat="false" ht="15.75" hidden="false" customHeight="true" outlineLevel="0" collapsed="false">
      <c r="A360" s="2"/>
      <c r="B360" s="2"/>
      <c r="C360" s="2"/>
      <c r="D360" s="2"/>
      <c r="E360" s="2"/>
      <c r="F360" s="2"/>
      <c r="G360" s="2"/>
    </row>
    <row r="361" customFormat="false" ht="15.75" hidden="false" customHeight="true" outlineLevel="0" collapsed="false">
      <c r="A361" s="2"/>
      <c r="B361" s="2"/>
      <c r="C361" s="2"/>
      <c r="D361" s="2"/>
      <c r="E361" s="2"/>
      <c r="F361" s="2"/>
      <c r="G361" s="2"/>
    </row>
    <row r="362" customFormat="false" ht="15.75" hidden="false" customHeight="true" outlineLevel="0" collapsed="false">
      <c r="A362" s="2"/>
      <c r="B362" s="2"/>
      <c r="C362" s="2"/>
      <c r="D362" s="2"/>
      <c r="E362" s="2"/>
      <c r="F362" s="2"/>
      <c r="G362" s="2"/>
    </row>
    <row r="363" customFormat="false" ht="15.75" hidden="false" customHeight="true" outlineLevel="0" collapsed="false">
      <c r="A363" s="2"/>
      <c r="B363" s="2"/>
      <c r="C363" s="2"/>
      <c r="D363" s="2"/>
      <c r="E363" s="2"/>
      <c r="F363" s="2"/>
      <c r="G363" s="2"/>
    </row>
    <row r="364" customFormat="false" ht="15.75" hidden="false" customHeight="true" outlineLevel="0" collapsed="false">
      <c r="A364" s="2"/>
      <c r="B364" s="2"/>
      <c r="C364" s="2"/>
      <c r="D364" s="2"/>
      <c r="E364" s="2"/>
      <c r="F364" s="2"/>
      <c r="G364" s="2"/>
    </row>
    <row r="365" customFormat="false" ht="15.75" hidden="false" customHeight="true" outlineLevel="0" collapsed="false">
      <c r="A365" s="2"/>
      <c r="B365" s="2"/>
      <c r="C365" s="2"/>
      <c r="D365" s="2"/>
      <c r="E365" s="2"/>
      <c r="F365" s="2"/>
      <c r="G365" s="2"/>
    </row>
    <row r="366" customFormat="false" ht="15.75" hidden="false" customHeight="true" outlineLevel="0" collapsed="false">
      <c r="A366" s="2"/>
      <c r="B366" s="2"/>
      <c r="C366" s="2"/>
      <c r="D366" s="2"/>
      <c r="E366" s="2"/>
      <c r="F366" s="2"/>
      <c r="G366" s="2"/>
    </row>
    <row r="367" customFormat="false" ht="15.75" hidden="false" customHeight="true" outlineLevel="0" collapsed="false">
      <c r="A367" s="2"/>
      <c r="B367" s="2"/>
      <c r="C367" s="2"/>
      <c r="D367" s="2"/>
      <c r="E367" s="2"/>
      <c r="F367" s="2"/>
      <c r="G367" s="2"/>
    </row>
    <row r="368" customFormat="false" ht="15.75" hidden="false" customHeight="true" outlineLevel="0" collapsed="false">
      <c r="A368" s="2"/>
      <c r="B368" s="2"/>
      <c r="C368" s="2"/>
      <c r="D368" s="2"/>
      <c r="E368" s="2"/>
      <c r="F368" s="2"/>
      <c r="G368" s="2"/>
    </row>
    <row r="369" customFormat="false" ht="15.75" hidden="false" customHeight="true" outlineLevel="0" collapsed="false">
      <c r="A369" s="2"/>
      <c r="B369" s="2"/>
      <c r="C369" s="2"/>
      <c r="D369" s="2"/>
      <c r="E369" s="2"/>
      <c r="F369" s="2"/>
      <c r="G369" s="2"/>
    </row>
    <row r="370" customFormat="false" ht="15.75" hidden="false" customHeight="true" outlineLevel="0" collapsed="false">
      <c r="A370" s="2"/>
      <c r="B370" s="2"/>
      <c r="C370" s="2"/>
      <c r="D370" s="2"/>
      <c r="E370" s="2"/>
      <c r="F370" s="2"/>
      <c r="G370" s="2"/>
    </row>
    <row r="371" customFormat="false" ht="15.75" hidden="false" customHeight="true" outlineLevel="0" collapsed="false">
      <c r="A371" s="2"/>
      <c r="B371" s="2"/>
      <c r="C371" s="2"/>
      <c r="D371" s="2"/>
      <c r="E371" s="2"/>
      <c r="F371" s="2"/>
      <c r="G371" s="2"/>
    </row>
    <row r="372" customFormat="false" ht="15.75" hidden="false" customHeight="true" outlineLevel="0" collapsed="false">
      <c r="A372" s="2"/>
      <c r="B372" s="2"/>
      <c r="C372" s="2"/>
      <c r="D372" s="2"/>
      <c r="E372" s="2"/>
      <c r="F372" s="2"/>
      <c r="G372" s="2"/>
    </row>
    <row r="373" customFormat="false" ht="15.75" hidden="false" customHeight="true" outlineLevel="0" collapsed="false">
      <c r="A373" s="2"/>
      <c r="B373" s="2"/>
      <c r="C373" s="2"/>
      <c r="D373" s="2"/>
      <c r="E373" s="2"/>
      <c r="F373" s="2"/>
      <c r="G373" s="2"/>
    </row>
    <row r="374" customFormat="false" ht="15.75" hidden="false" customHeight="true" outlineLevel="0" collapsed="false">
      <c r="A374" s="2"/>
      <c r="B374" s="2"/>
      <c r="C374" s="2"/>
      <c r="D374" s="2"/>
      <c r="E374" s="2"/>
      <c r="F374" s="2"/>
      <c r="G374" s="2"/>
    </row>
    <row r="375" customFormat="false" ht="15.75" hidden="false" customHeight="true" outlineLevel="0" collapsed="false">
      <c r="A375" s="2"/>
      <c r="B375" s="2"/>
      <c r="C375" s="2"/>
      <c r="D375" s="2"/>
      <c r="E375" s="2"/>
      <c r="F375" s="2"/>
      <c r="G375" s="2"/>
    </row>
    <row r="376" customFormat="false" ht="15.75" hidden="false" customHeight="true" outlineLevel="0" collapsed="false">
      <c r="A376" s="2"/>
      <c r="B376" s="2"/>
      <c r="C376" s="2"/>
      <c r="D376" s="2"/>
      <c r="E376" s="2"/>
      <c r="F376" s="2"/>
      <c r="G376" s="2"/>
    </row>
    <row r="377" customFormat="false" ht="15.75" hidden="false" customHeight="true" outlineLevel="0" collapsed="false">
      <c r="A377" s="2"/>
      <c r="B377" s="2"/>
      <c r="C377" s="2"/>
      <c r="D377" s="2"/>
      <c r="E377" s="2"/>
      <c r="F377" s="2"/>
      <c r="G377" s="2"/>
    </row>
    <row r="378" customFormat="false" ht="15.75" hidden="false" customHeight="true" outlineLevel="0" collapsed="false">
      <c r="A378" s="2"/>
      <c r="B378" s="2"/>
      <c r="C378" s="2"/>
      <c r="D378" s="2"/>
      <c r="E378" s="2"/>
      <c r="F378" s="2"/>
      <c r="G378" s="2"/>
    </row>
    <row r="379" customFormat="false" ht="15.75" hidden="false" customHeight="true" outlineLevel="0" collapsed="false">
      <c r="A379" s="2"/>
      <c r="B379" s="2"/>
      <c r="C379" s="2"/>
      <c r="D379" s="2"/>
      <c r="E379" s="2"/>
      <c r="F379" s="2"/>
      <c r="G379" s="2"/>
    </row>
    <row r="380" customFormat="false" ht="15.75" hidden="false" customHeight="true" outlineLevel="0" collapsed="false">
      <c r="A380" s="2"/>
      <c r="B380" s="2"/>
      <c r="C380" s="2"/>
      <c r="D380" s="2"/>
      <c r="E380" s="2"/>
      <c r="F380" s="2"/>
      <c r="G380" s="2"/>
    </row>
    <row r="381" customFormat="false" ht="15.75" hidden="false" customHeight="true" outlineLevel="0" collapsed="false">
      <c r="A381" s="2"/>
      <c r="B381" s="2"/>
      <c r="C381" s="2"/>
      <c r="D381" s="2"/>
      <c r="E381" s="2"/>
      <c r="F381" s="2"/>
      <c r="G381" s="2"/>
    </row>
    <row r="382" customFormat="false" ht="15.75" hidden="false" customHeight="true" outlineLevel="0" collapsed="false">
      <c r="A382" s="2"/>
      <c r="B382" s="2"/>
      <c r="C382" s="2"/>
      <c r="D382" s="2"/>
      <c r="E382" s="2"/>
      <c r="F382" s="2"/>
      <c r="G382" s="2"/>
    </row>
    <row r="383" customFormat="false" ht="15.75" hidden="false" customHeight="true" outlineLevel="0" collapsed="false">
      <c r="A383" s="2"/>
      <c r="B383" s="2"/>
      <c r="C383" s="2"/>
      <c r="D383" s="2"/>
      <c r="E383" s="2"/>
      <c r="F383" s="2"/>
      <c r="G383" s="2"/>
    </row>
    <row r="384" customFormat="false" ht="15.75" hidden="false" customHeight="true" outlineLevel="0" collapsed="false">
      <c r="A384" s="2"/>
      <c r="B384" s="2"/>
      <c r="C384" s="2"/>
      <c r="D384" s="2"/>
      <c r="E384" s="2"/>
      <c r="F384" s="2"/>
      <c r="G384" s="2"/>
    </row>
    <row r="385" customFormat="false" ht="15.75" hidden="false" customHeight="true" outlineLevel="0" collapsed="false">
      <c r="A385" s="2"/>
      <c r="B385" s="2"/>
      <c r="C385" s="2"/>
      <c r="D385" s="2"/>
      <c r="E385" s="2"/>
      <c r="F385" s="2"/>
      <c r="G385" s="2"/>
    </row>
    <row r="386" customFormat="false" ht="15.75" hidden="false" customHeight="true" outlineLevel="0" collapsed="false">
      <c r="A386" s="2"/>
      <c r="B386" s="2"/>
      <c r="C386" s="2"/>
      <c r="D386" s="2"/>
      <c r="E386" s="2"/>
      <c r="F386" s="2"/>
      <c r="G386" s="2"/>
    </row>
    <row r="387" customFormat="false" ht="15.75" hidden="false" customHeight="true" outlineLevel="0" collapsed="false">
      <c r="A387" s="2"/>
      <c r="B387" s="2"/>
      <c r="C387" s="2"/>
      <c r="D387" s="2"/>
      <c r="E387" s="2"/>
      <c r="F387" s="2"/>
      <c r="G387" s="2"/>
    </row>
    <row r="388" customFormat="false" ht="15.75" hidden="false" customHeight="true" outlineLevel="0" collapsed="false">
      <c r="A388" s="2"/>
      <c r="B388" s="2"/>
      <c r="C388" s="2"/>
      <c r="D388" s="2"/>
      <c r="E388" s="2"/>
      <c r="F388" s="2"/>
      <c r="G388" s="2"/>
    </row>
    <row r="389" customFormat="false" ht="15.75" hidden="false" customHeight="true" outlineLevel="0" collapsed="false">
      <c r="A389" s="2"/>
      <c r="B389" s="2"/>
      <c r="C389" s="2"/>
      <c r="D389" s="2"/>
      <c r="E389" s="2"/>
      <c r="F389" s="2"/>
      <c r="G389" s="2"/>
    </row>
    <row r="390" customFormat="false" ht="15.75" hidden="false" customHeight="true" outlineLevel="0" collapsed="false">
      <c r="A390" s="2"/>
      <c r="B390" s="2"/>
      <c r="C390" s="2"/>
      <c r="D390" s="2"/>
      <c r="E390" s="2"/>
      <c r="F390" s="2"/>
      <c r="G390" s="2"/>
    </row>
    <row r="391" customFormat="false" ht="15.75" hidden="false" customHeight="true" outlineLevel="0" collapsed="false">
      <c r="A391" s="2"/>
      <c r="B391" s="2"/>
      <c r="C391" s="2"/>
      <c r="D391" s="2"/>
      <c r="E391" s="2"/>
      <c r="F391" s="2"/>
      <c r="G391" s="2"/>
    </row>
    <row r="392" customFormat="false" ht="15.75" hidden="false" customHeight="true" outlineLevel="0" collapsed="false">
      <c r="A392" s="2"/>
      <c r="B392" s="2"/>
      <c r="C392" s="2"/>
      <c r="D392" s="2"/>
      <c r="E392" s="2"/>
      <c r="F392" s="2"/>
      <c r="G392" s="2"/>
    </row>
    <row r="393" customFormat="false" ht="15.75" hidden="false" customHeight="true" outlineLevel="0" collapsed="false">
      <c r="A393" s="2"/>
      <c r="B393" s="2"/>
      <c r="C393" s="2"/>
      <c r="D393" s="2"/>
      <c r="E393" s="2"/>
      <c r="F393" s="2"/>
      <c r="G393" s="2"/>
    </row>
    <row r="394" customFormat="false" ht="15.75" hidden="false" customHeight="true" outlineLevel="0" collapsed="false">
      <c r="A394" s="2"/>
      <c r="B394" s="2"/>
      <c r="C394" s="2"/>
      <c r="D394" s="2"/>
      <c r="E394" s="2"/>
      <c r="F394" s="2"/>
      <c r="G394" s="2"/>
    </row>
    <row r="395" customFormat="false" ht="15.75" hidden="false" customHeight="true" outlineLevel="0" collapsed="false">
      <c r="A395" s="2"/>
      <c r="B395" s="2"/>
      <c r="C395" s="2"/>
      <c r="D395" s="2"/>
      <c r="E395" s="2"/>
      <c r="F395" s="2"/>
      <c r="G395" s="2"/>
    </row>
    <row r="396" customFormat="false" ht="15.75" hidden="false" customHeight="true" outlineLevel="0" collapsed="false">
      <c r="A396" s="2"/>
      <c r="B396" s="2"/>
      <c r="C396" s="2"/>
      <c r="D396" s="2"/>
      <c r="E396" s="2"/>
      <c r="F396" s="2"/>
      <c r="G396" s="2"/>
    </row>
    <row r="397" customFormat="false" ht="15.75" hidden="false" customHeight="true" outlineLevel="0" collapsed="false">
      <c r="A397" s="2"/>
      <c r="B397" s="2"/>
      <c r="C397" s="2"/>
      <c r="D397" s="2"/>
      <c r="E397" s="2"/>
      <c r="F397" s="2"/>
      <c r="G397" s="2"/>
    </row>
    <row r="398" customFormat="false" ht="15.75" hidden="false" customHeight="true" outlineLevel="0" collapsed="false">
      <c r="A398" s="2"/>
      <c r="B398" s="2"/>
      <c r="C398" s="2"/>
      <c r="D398" s="2"/>
      <c r="E398" s="2"/>
      <c r="F398" s="2"/>
      <c r="G398" s="2"/>
    </row>
    <row r="399" customFormat="false" ht="15.75" hidden="false" customHeight="true" outlineLevel="0" collapsed="false">
      <c r="A399" s="2"/>
      <c r="B399" s="2"/>
      <c r="C399" s="2"/>
      <c r="D399" s="2"/>
      <c r="E399" s="2"/>
      <c r="F399" s="2"/>
      <c r="G399" s="2"/>
    </row>
    <row r="400" customFormat="false" ht="15.75" hidden="false" customHeight="true" outlineLevel="0" collapsed="false">
      <c r="A400" s="2"/>
      <c r="B400" s="2"/>
      <c r="C400" s="2"/>
      <c r="D400" s="2"/>
      <c r="E400" s="2"/>
      <c r="F400" s="2"/>
      <c r="G400" s="2"/>
    </row>
    <row r="401" customFormat="false" ht="15.75" hidden="false" customHeight="true" outlineLevel="0" collapsed="false">
      <c r="A401" s="2"/>
      <c r="B401" s="2"/>
      <c r="C401" s="2"/>
      <c r="D401" s="2"/>
      <c r="E401" s="2"/>
      <c r="F401" s="2"/>
      <c r="G401" s="2"/>
    </row>
    <row r="402" customFormat="false" ht="15.75" hidden="false" customHeight="true" outlineLevel="0" collapsed="false">
      <c r="A402" s="2"/>
      <c r="B402" s="2"/>
      <c r="C402" s="2"/>
      <c r="D402" s="2"/>
      <c r="E402" s="2"/>
      <c r="F402" s="2"/>
      <c r="G402" s="2"/>
    </row>
    <row r="403" customFormat="false" ht="15.75" hidden="false" customHeight="true" outlineLevel="0" collapsed="false">
      <c r="A403" s="2"/>
      <c r="B403" s="2"/>
      <c r="C403" s="2"/>
      <c r="D403" s="2"/>
      <c r="E403" s="2"/>
      <c r="F403" s="2"/>
      <c r="G403" s="2"/>
    </row>
    <row r="404" customFormat="false" ht="15.75" hidden="false" customHeight="true" outlineLevel="0" collapsed="false">
      <c r="A404" s="2"/>
      <c r="B404" s="2"/>
      <c r="C404" s="2"/>
      <c r="D404" s="2"/>
      <c r="E404" s="2"/>
      <c r="F404" s="2"/>
      <c r="G404" s="2"/>
    </row>
    <row r="405" customFormat="false" ht="15.75" hidden="false" customHeight="true" outlineLevel="0" collapsed="false">
      <c r="A405" s="2"/>
      <c r="B405" s="2"/>
      <c r="C405" s="2"/>
      <c r="D405" s="2"/>
      <c r="E405" s="2"/>
      <c r="F405" s="2"/>
      <c r="G405" s="2"/>
    </row>
    <row r="406" customFormat="false" ht="15.75" hidden="false" customHeight="true" outlineLevel="0" collapsed="false">
      <c r="A406" s="2"/>
      <c r="B406" s="2"/>
      <c r="C406" s="2"/>
      <c r="D406" s="2"/>
      <c r="E406" s="2"/>
      <c r="F406" s="2"/>
      <c r="G406" s="2"/>
    </row>
    <row r="407" customFormat="false" ht="15.75" hidden="false" customHeight="true" outlineLevel="0" collapsed="false">
      <c r="A407" s="2"/>
      <c r="B407" s="2"/>
      <c r="C407" s="2"/>
      <c r="D407" s="2"/>
      <c r="E407" s="2"/>
      <c r="F407" s="2"/>
      <c r="G407" s="2"/>
    </row>
    <row r="408" customFormat="false" ht="15.75" hidden="false" customHeight="true" outlineLevel="0" collapsed="false">
      <c r="A408" s="2"/>
      <c r="B408" s="2"/>
      <c r="C408" s="2"/>
      <c r="D408" s="2"/>
      <c r="E408" s="2"/>
      <c r="F408" s="2"/>
      <c r="G408" s="2"/>
    </row>
    <row r="409" customFormat="false" ht="15.75" hidden="false" customHeight="true" outlineLevel="0" collapsed="false">
      <c r="A409" s="2"/>
      <c r="B409" s="2"/>
      <c r="C409" s="2"/>
      <c r="D409" s="2"/>
      <c r="E409" s="2"/>
      <c r="F409" s="2"/>
      <c r="G409" s="2"/>
    </row>
    <row r="410" customFormat="false" ht="15.75" hidden="false" customHeight="true" outlineLevel="0" collapsed="false">
      <c r="A410" s="2"/>
      <c r="B410" s="2"/>
      <c r="C410" s="2"/>
      <c r="D410" s="2"/>
      <c r="E410" s="2"/>
      <c r="F410" s="2"/>
      <c r="G410" s="2"/>
    </row>
    <row r="411" customFormat="false" ht="15.75" hidden="false" customHeight="true" outlineLevel="0" collapsed="false">
      <c r="A411" s="2"/>
      <c r="B411" s="2"/>
      <c r="C411" s="2"/>
      <c r="D411" s="2"/>
      <c r="E411" s="2"/>
      <c r="F411" s="2"/>
      <c r="G411" s="2"/>
    </row>
    <row r="412" customFormat="false" ht="15.75" hidden="false" customHeight="true" outlineLevel="0" collapsed="false">
      <c r="A412" s="2"/>
      <c r="B412" s="2"/>
      <c r="C412" s="2"/>
      <c r="D412" s="2"/>
      <c r="E412" s="2"/>
      <c r="F412" s="2"/>
      <c r="G412" s="2"/>
    </row>
    <row r="413" customFormat="false" ht="15.75" hidden="false" customHeight="true" outlineLevel="0" collapsed="false">
      <c r="A413" s="2"/>
      <c r="B413" s="2"/>
      <c r="C413" s="2"/>
      <c r="D413" s="2"/>
      <c r="E413" s="2"/>
      <c r="F413" s="2"/>
      <c r="G413" s="2"/>
    </row>
    <row r="414" customFormat="false" ht="15.75" hidden="false" customHeight="true" outlineLevel="0" collapsed="false">
      <c r="A414" s="2"/>
      <c r="B414" s="2"/>
      <c r="C414" s="2"/>
      <c r="D414" s="2"/>
      <c r="E414" s="2"/>
      <c r="F414" s="2"/>
      <c r="G414" s="2"/>
    </row>
    <row r="415" customFormat="false" ht="15.75" hidden="false" customHeight="true" outlineLevel="0" collapsed="false">
      <c r="A415" s="2"/>
      <c r="B415" s="2"/>
      <c r="C415" s="2"/>
      <c r="D415" s="2"/>
      <c r="E415" s="2"/>
      <c r="F415" s="2"/>
      <c r="G415" s="2"/>
    </row>
    <row r="416" customFormat="false" ht="15.75" hidden="false" customHeight="true" outlineLevel="0" collapsed="false">
      <c r="A416" s="2"/>
      <c r="B416" s="2"/>
      <c r="C416" s="2"/>
      <c r="D416" s="2"/>
      <c r="E416" s="2"/>
      <c r="F416" s="2"/>
      <c r="G416" s="2"/>
    </row>
    <row r="417" customFormat="false" ht="15.75" hidden="false" customHeight="true" outlineLevel="0" collapsed="false">
      <c r="A417" s="2"/>
      <c r="B417" s="2"/>
      <c r="C417" s="2"/>
      <c r="D417" s="2"/>
      <c r="E417" s="2"/>
      <c r="F417" s="2"/>
      <c r="G417" s="2"/>
    </row>
    <row r="418" customFormat="false" ht="15.75" hidden="false" customHeight="true" outlineLevel="0" collapsed="false">
      <c r="A418" s="2"/>
      <c r="B418" s="2"/>
      <c r="C418" s="2"/>
      <c r="D418" s="2"/>
      <c r="E418" s="2"/>
      <c r="F418" s="2"/>
      <c r="G418" s="2"/>
    </row>
    <row r="419" customFormat="false" ht="15.75" hidden="false" customHeight="true" outlineLevel="0" collapsed="false">
      <c r="A419" s="2"/>
      <c r="B419" s="2"/>
      <c r="C419" s="2"/>
      <c r="D419" s="2"/>
      <c r="E419" s="2"/>
      <c r="F419" s="2"/>
      <c r="G419" s="2"/>
    </row>
    <row r="420" customFormat="false" ht="15.75" hidden="false" customHeight="true" outlineLevel="0" collapsed="false">
      <c r="A420" s="2"/>
      <c r="B420" s="2"/>
      <c r="C420" s="2"/>
      <c r="D420" s="2"/>
      <c r="E420" s="2"/>
      <c r="F420" s="2"/>
      <c r="G420" s="2"/>
    </row>
    <row r="421" customFormat="false" ht="15.75" hidden="false" customHeight="true" outlineLevel="0" collapsed="false">
      <c r="A421" s="2"/>
      <c r="B421" s="2"/>
      <c r="C421" s="2"/>
      <c r="D421" s="2"/>
      <c r="E421" s="2"/>
      <c r="F421" s="2"/>
      <c r="G421" s="2"/>
    </row>
    <row r="422" customFormat="false" ht="15.75" hidden="false" customHeight="true" outlineLevel="0" collapsed="false">
      <c r="A422" s="2"/>
      <c r="B422" s="2"/>
      <c r="C422" s="2"/>
      <c r="D422" s="2"/>
      <c r="E422" s="2"/>
      <c r="F422" s="2"/>
      <c r="G422" s="2"/>
    </row>
    <row r="423" customFormat="false" ht="15.75" hidden="false" customHeight="true" outlineLevel="0" collapsed="false">
      <c r="A423" s="2"/>
      <c r="B423" s="2"/>
      <c r="C423" s="2"/>
      <c r="D423" s="2"/>
      <c r="E423" s="2"/>
      <c r="F423" s="2"/>
      <c r="G423" s="2"/>
    </row>
    <row r="424" customFormat="false" ht="15.75" hidden="false" customHeight="true" outlineLevel="0" collapsed="false">
      <c r="A424" s="2"/>
      <c r="B424" s="2"/>
      <c r="C424" s="2"/>
      <c r="D424" s="2"/>
      <c r="E424" s="2"/>
      <c r="F424" s="2"/>
      <c r="G424" s="2"/>
    </row>
    <row r="425" customFormat="false" ht="15.75" hidden="false" customHeight="true" outlineLevel="0" collapsed="false">
      <c r="A425" s="2"/>
      <c r="B425" s="2"/>
      <c r="C425" s="2"/>
      <c r="D425" s="2"/>
      <c r="E425" s="2"/>
      <c r="F425" s="2"/>
      <c r="G425" s="2"/>
    </row>
    <row r="426" customFormat="false" ht="15.75" hidden="false" customHeight="true" outlineLevel="0" collapsed="false">
      <c r="A426" s="2"/>
      <c r="B426" s="2"/>
      <c r="C426" s="2"/>
      <c r="D426" s="2"/>
      <c r="E426" s="2"/>
      <c r="F426" s="2"/>
      <c r="G426" s="2"/>
    </row>
    <row r="427" customFormat="false" ht="15.75" hidden="false" customHeight="true" outlineLevel="0" collapsed="false">
      <c r="A427" s="2"/>
      <c r="B427" s="2"/>
      <c r="C427" s="2"/>
      <c r="D427" s="2"/>
      <c r="E427" s="2"/>
      <c r="F427" s="2"/>
      <c r="G427" s="2"/>
    </row>
    <row r="428" customFormat="false" ht="15.75" hidden="false" customHeight="true" outlineLevel="0" collapsed="false">
      <c r="A428" s="2"/>
      <c r="B428" s="2"/>
      <c r="C428" s="2"/>
      <c r="D428" s="2"/>
      <c r="E428" s="2"/>
      <c r="F428" s="2"/>
      <c r="G428" s="2"/>
    </row>
    <row r="429" customFormat="false" ht="15.75" hidden="false" customHeight="true" outlineLevel="0" collapsed="false">
      <c r="A429" s="2"/>
      <c r="B429" s="2"/>
      <c r="C429" s="2"/>
      <c r="D429" s="2"/>
      <c r="E429" s="2"/>
      <c r="F429" s="2"/>
      <c r="G429" s="2"/>
    </row>
    <row r="430" customFormat="false" ht="15.75" hidden="false" customHeight="true" outlineLevel="0" collapsed="false">
      <c r="A430" s="2"/>
      <c r="B430" s="2"/>
      <c r="C430" s="2"/>
      <c r="D430" s="2"/>
      <c r="E430" s="2"/>
      <c r="F430" s="2"/>
      <c r="G430" s="2"/>
    </row>
    <row r="431" customFormat="false" ht="15.75" hidden="false" customHeight="true" outlineLevel="0" collapsed="false">
      <c r="A431" s="2"/>
      <c r="B431" s="2"/>
      <c r="C431" s="2"/>
      <c r="D431" s="2"/>
      <c r="E431" s="2"/>
      <c r="F431" s="2"/>
      <c r="G431" s="2"/>
    </row>
    <row r="432" customFormat="false" ht="15.75" hidden="false" customHeight="true" outlineLevel="0" collapsed="false">
      <c r="A432" s="2"/>
      <c r="B432" s="2"/>
      <c r="C432" s="2"/>
      <c r="D432" s="2"/>
      <c r="E432" s="2"/>
      <c r="F432" s="2"/>
      <c r="G432" s="2"/>
    </row>
    <row r="433" customFormat="false" ht="15.75" hidden="false" customHeight="true" outlineLevel="0" collapsed="false">
      <c r="A433" s="2"/>
      <c r="B433" s="2"/>
      <c r="C433" s="2"/>
      <c r="D433" s="2"/>
      <c r="E433" s="2"/>
      <c r="F433" s="2"/>
      <c r="G433" s="2"/>
    </row>
    <row r="434" customFormat="false" ht="15.75" hidden="false" customHeight="true" outlineLevel="0" collapsed="false">
      <c r="A434" s="2"/>
      <c r="B434" s="2"/>
      <c r="C434" s="2"/>
      <c r="D434" s="2"/>
      <c r="E434" s="2"/>
      <c r="F434" s="2"/>
      <c r="G434" s="2"/>
    </row>
    <row r="435" customFormat="false" ht="15.75" hidden="false" customHeight="true" outlineLevel="0" collapsed="false">
      <c r="A435" s="2"/>
      <c r="B435" s="2"/>
      <c r="C435" s="2"/>
      <c r="D435" s="2"/>
      <c r="E435" s="2"/>
      <c r="F435" s="2"/>
      <c r="G435" s="2"/>
    </row>
    <row r="436" customFormat="false" ht="15.75" hidden="false" customHeight="true" outlineLevel="0" collapsed="false">
      <c r="A436" s="2"/>
      <c r="B436" s="2"/>
      <c r="C436" s="2"/>
      <c r="D436" s="2"/>
      <c r="E436" s="2"/>
      <c r="F436" s="2"/>
      <c r="G436" s="2"/>
    </row>
    <row r="437" customFormat="false" ht="15.75" hidden="false" customHeight="true" outlineLevel="0" collapsed="false">
      <c r="A437" s="2"/>
      <c r="B437" s="2"/>
      <c r="C437" s="2"/>
      <c r="D437" s="2"/>
      <c r="E437" s="2"/>
      <c r="F437" s="2"/>
      <c r="G437" s="2"/>
    </row>
    <row r="438" customFormat="false" ht="15.75" hidden="false" customHeight="true" outlineLevel="0" collapsed="false">
      <c r="A438" s="2"/>
      <c r="B438" s="2"/>
      <c r="C438" s="2"/>
      <c r="D438" s="2"/>
      <c r="E438" s="2"/>
      <c r="F438" s="2"/>
      <c r="G438" s="2"/>
    </row>
    <row r="439" customFormat="false" ht="15.75" hidden="false" customHeight="true" outlineLevel="0" collapsed="false">
      <c r="A439" s="2"/>
      <c r="B439" s="2"/>
      <c r="C439" s="2"/>
      <c r="D439" s="2"/>
      <c r="E439" s="2"/>
      <c r="F439" s="2"/>
      <c r="G439" s="2"/>
    </row>
    <row r="440" customFormat="false" ht="15.75" hidden="false" customHeight="true" outlineLevel="0" collapsed="false">
      <c r="A440" s="2"/>
      <c r="B440" s="2"/>
      <c r="C440" s="2"/>
      <c r="D440" s="2"/>
      <c r="E440" s="2"/>
      <c r="F440" s="2"/>
      <c r="G440" s="2"/>
    </row>
    <row r="441" customFormat="false" ht="15.75" hidden="false" customHeight="true" outlineLevel="0" collapsed="false">
      <c r="A441" s="2"/>
      <c r="B441" s="2"/>
      <c r="C441" s="2"/>
      <c r="D441" s="2"/>
      <c r="E441" s="2"/>
      <c r="F441" s="2"/>
      <c r="G441" s="2"/>
    </row>
    <row r="442" customFormat="false" ht="15.75" hidden="false" customHeight="true" outlineLevel="0" collapsed="false">
      <c r="A442" s="2"/>
      <c r="B442" s="2"/>
      <c r="C442" s="2"/>
      <c r="D442" s="2"/>
      <c r="E442" s="2"/>
      <c r="F442" s="2"/>
      <c r="G442" s="2"/>
    </row>
    <row r="443" customFormat="false" ht="15.75" hidden="false" customHeight="true" outlineLevel="0" collapsed="false">
      <c r="A443" s="2"/>
      <c r="B443" s="2"/>
      <c r="C443" s="2"/>
      <c r="D443" s="2"/>
      <c r="E443" s="2"/>
      <c r="F443" s="2"/>
      <c r="G443" s="2"/>
    </row>
    <row r="444" customFormat="false" ht="15.75" hidden="false" customHeight="true" outlineLevel="0" collapsed="false">
      <c r="A444" s="2"/>
      <c r="B444" s="2"/>
      <c r="C444" s="2"/>
      <c r="D444" s="2"/>
      <c r="E444" s="2"/>
      <c r="F444" s="2"/>
      <c r="G444" s="2"/>
    </row>
    <row r="445" customFormat="false" ht="15.75" hidden="false" customHeight="true" outlineLevel="0" collapsed="false">
      <c r="A445" s="2"/>
      <c r="B445" s="2"/>
      <c r="C445" s="2"/>
      <c r="D445" s="2"/>
      <c r="E445" s="2"/>
      <c r="F445" s="2"/>
      <c r="G445" s="2"/>
    </row>
    <row r="446" customFormat="false" ht="15.75" hidden="false" customHeight="true" outlineLevel="0" collapsed="false">
      <c r="A446" s="2"/>
      <c r="B446" s="2"/>
      <c r="C446" s="2"/>
      <c r="D446" s="2"/>
      <c r="E446" s="2"/>
      <c r="F446" s="2"/>
      <c r="G446" s="2"/>
    </row>
    <row r="447" customFormat="false" ht="15.75" hidden="false" customHeight="true" outlineLevel="0" collapsed="false">
      <c r="A447" s="2"/>
      <c r="B447" s="2"/>
      <c r="C447" s="2"/>
      <c r="D447" s="2"/>
      <c r="E447" s="2"/>
      <c r="F447" s="2"/>
      <c r="G447" s="2"/>
    </row>
    <row r="448" customFormat="false" ht="15.75" hidden="false" customHeight="true" outlineLevel="0" collapsed="false">
      <c r="A448" s="2"/>
      <c r="B448" s="2"/>
      <c r="C448" s="2"/>
      <c r="D448" s="2"/>
      <c r="E448" s="2"/>
      <c r="F448" s="2"/>
      <c r="G448" s="2"/>
    </row>
    <row r="449" customFormat="false" ht="15.75" hidden="false" customHeight="true" outlineLevel="0" collapsed="false">
      <c r="A449" s="2"/>
      <c r="B449" s="2"/>
      <c r="C449" s="2"/>
      <c r="D449" s="2"/>
      <c r="E449" s="2"/>
      <c r="F449" s="2"/>
      <c r="G449" s="2"/>
    </row>
    <row r="450" customFormat="false" ht="15.75" hidden="false" customHeight="true" outlineLevel="0" collapsed="false">
      <c r="A450" s="2"/>
      <c r="B450" s="2"/>
      <c r="C450" s="2"/>
      <c r="D450" s="2"/>
      <c r="E450" s="2"/>
      <c r="F450" s="2"/>
      <c r="G450" s="2"/>
    </row>
    <row r="451" customFormat="false" ht="15.75" hidden="false" customHeight="true" outlineLevel="0" collapsed="false">
      <c r="A451" s="2"/>
      <c r="B451" s="2"/>
      <c r="C451" s="2"/>
      <c r="D451" s="2"/>
      <c r="E451" s="2"/>
      <c r="F451" s="2"/>
      <c r="G451" s="2"/>
    </row>
    <row r="452" customFormat="false" ht="15.75" hidden="false" customHeight="true" outlineLevel="0" collapsed="false">
      <c r="A452" s="2"/>
      <c r="B452" s="2"/>
      <c r="C452" s="2"/>
      <c r="D452" s="2"/>
      <c r="E452" s="2"/>
      <c r="F452" s="2"/>
      <c r="G452" s="2"/>
    </row>
    <row r="453" customFormat="false" ht="15.75" hidden="false" customHeight="true" outlineLevel="0" collapsed="false">
      <c r="A453" s="2"/>
      <c r="B453" s="2"/>
      <c r="C453" s="2"/>
      <c r="D453" s="2"/>
      <c r="E453" s="2"/>
      <c r="F453" s="2"/>
      <c r="G453" s="2"/>
    </row>
    <row r="454" customFormat="false" ht="15.75" hidden="false" customHeight="true" outlineLevel="0" collapsed="false">
      <c r="A454" s="2"/>
      <c r="B454" s="2"/>
      <c r="C454" s="2"/>
      <c r="D454" s="2"/>
      <c r="E454" s="2"/>
      <c r="F454" s="2"/>
      <c r="G454" s="2"/>
    </row>
    <row r="455" customFormat="false" ht="15.75" hidden="false" customHeight="true" outlineLevel="0" collapsed="false">
      <c r="A455" s="2"/>
      <c r="B455" s="2"/>
      <c r="C455" s="2"/>
      <c r="D455" s="2"/>
      <c r="E455" s="2"/>
      <c r="F455" s="2"/>
      <c r="G455" s="2"/>
    </row>
    <row r="456" customFormat="false" ht="15.75" hidden="false" customHeight="true" outlineLevel="0" collapsed="false">
      <c r="A456" s="2"/>
      <c r="B456" s="2"/>
      <c r="C456" s="2"/>
      <c r="D456" s="2"/>
      <c r="E456" s="2"/>
      <c r="F456" s="2"/>
      <c r="G456" s="2"/>
    </row>
    <row r="457" customFormat="false" ht="15.75" hidden="false" customHeight="true" outlineLevel="0" collapsed="false">
      <c r="A457" s="2"/>
      <c r="B457" s="2"/>
      <c r="C457" s="2"/>
      <c r="D457" s="2"/>
      <c r="E457" s="2"/>
      <c r="F457" s="2"/>
      <c r="G457" s="2"/>
    </row>
    <row r="458" customFormat="false" ht="15.75" hidden="false" customHeight="true" outlineLevel="0" collapsed="false">
      <c r="A458" s="2"/>
      <c r="B458" s="2"/>
      <c r="C458" s="2"/>
      <c r="D458" s="2"/>
      <c r="E458" s="2"/>
      <c r="F458" s="2"/>
      <c r="G458" s="2"/>
    </row>
    <row r="459" customFormat="false" ht="15.75" hidden="false" customHeight="true" outlineLevel="0" collapsed="false">
      <c r="A459" s="2"/>
      <c r="B459" s="2"/>
      <c r="C459" s="2"/>
      <c r="D459" s="2"/>
      <c r="E459" s="2"/>
      <c r="F459" s="2"/>
      <c r="G459" s="2"/>
    </row>
    <row r="460" customFormat="false" ht="15.75" hidden="false" customHeight="true" outlineLevel="0" collapsed="false">
      <c r="A460" s="2"/>
      <c r="B460" s="2"/>
      <c r="C460" s="2"/>
      <c r="D460" s="2"/>
      <c r="E460" s="2"/>
      <c r="F460" s="2"/>
      <c r="G460" s="2"/>
    </row>
    <row r="461" customFormat="false" ht="15.75" hidden="false" customHeight="true" outlineLevel="0" collapsed="false">
      <c r="A461" s="2"/>
      <c r="B461" s="2"/>
      <c r="C461" s="2"/>
      <c r="D461" s="2"/>
      <c r="E461" s="2"/>
      <c r="F461" s="2"/>
      <c r="G461" s="2"/>
    </row>
    <row r="462" customFormat="false" ht="15.75" hidden="false" customHeight="true" outlineLevel="0" collapsed="false">
      <c r="A462" s="2"/>
      <c r="B462" s="2"/>
      <c r="C462" s="2"/>
      <c r="D462" s="2"/>
      <c r="E462" s="2"/>
      <c r="F462" s="2"/>
      <c r="G462" s="2"/>
    </row>
    <row r="463" customFormat="false" ht="15.75" hidden="false" customHeight="true" outlineLevel="0" collapsed="false">
      <c r="A463" s="2"/>
      <c r="B463" s="2"/>
      <c r="C463" s="2"/>
      <c r="D463" s="2"/>
      <c r="E463" s="2"/>
      <c r="F463" s="2"/>
      <c r="G463" s="2"/>
    </row>
    <row r="464" customFormat="false" ht="15.75" hidden="false" customHeight="true" outlineLevel="0" collapsed="false">
      <c r="A464" s="2"/>
      <c r="B464" s="2"/>
      <c r="C464" s="2"/>
      <c r="D464" s="2"/>
      <c r="E464" s="2"/>
      <c r="F464" s="2"/>
      <c r="G464" s="2"/>
    </row>
    <row r="465" customFormat="false" ht="15.75" hidden="false" customHeight="true" outlineLevel="0" collapsed="false">
      <c r="A465" s="2"/>
      <c r="B465" s="2"/>
      <c r="C465" s="2"/>
      <c r="D465" s="2"/>
      <c r="E465" s="2"/>
      <c r="F465" s="2"/>
      <c r="G465" s="2"/>
    </row>
    <row r="466" customFormat="false" ht="15.75" hidden="false" customHeight="true" outlineLevel="0" collapsed="false">
      <c r="A466" s="2"/>
      <c r="B466" s="2"/>
      <c r="C466" s="2"/>
      <c r="D466" s="2"/>
      <c r="E466" s="2"/>
      <c r="F466" s="2"/>
      <c r="G466" s="2"/>
    </row>
    <row r="467" customFormat="false" ht="15.75" hidden="false" customHeight="true" outlineLevel="0" collapsed="false">
      <c r="A467" s="2"/>
      <c r="B467" s="2"/>
      <c r="C467" s="2"/>
      <c r="D467" s="2"/>
      <c r="E467" s="2"/>
      <c r="F467" s="2"/>
      <c r="G467" s="2"/>
    </row>
    <row r="468" customFormat="false" ht="15.75" hidden="false" customHeight="true" outlineLevel="0" collapsed="false">
      <c r="A468" s="2"/>
      <c r="B468" s="2"/>
      <c r="C468" s="2"/>
      <c r="D468" s="2"/>
      <c r="E468" s="2"/>
      <c r="F468" s="2"/>
      <c r="G468" s="2"/>
    </row>
    <row r="469" customFormat="false" ht="15.75" hidden="false" customHeight="true" outlineLevel="0" collapsed="false">
      <c r="A469" s="2"/>
      <c r="B469" s="2"/>
      <c r="C469" s="2"/>
      <c r="D469" s="2"/>
      <c r="E469" s="2"/>
      <c r="F469" s="2"/>
      <c r="G469" s="2"/>
    </row>
    <row r="470" customFormat="false" ht="15.75" hidden="false" customHeight="true" outlineLevel="0" collapsed="false">
      <c r="A470" s="2"/>
      <c r="B470" s="2"/>
      <c r="C470" s="2"/>
      <c r="D470" s="2"/>
      <c r="E470" s="2"/>
      <c r="F470" s="2"/>
      <c r="G470" s="2"/>
    </row>
    <row r="471" customFormat="false" ht="15.75" hidden="false" customHeight="true" outlineLevel="0" collapsed="false">
      <c r="A471" s="2"/>
      <c r="B471" s="2"/>
      <c r="C471" s="2"/>
      <c r="D471" s="2"/>
      <c r="E471" s="2"/>
      <c r="F471" s="2"/>
      <c r="G471" s="2"/>
    </row>
    <row r="472" customFormat="false" ht="15.75" hidden="false" customHeight="true" outlineLevel="0" collapsed="false">
      <c r="A472" s="2"/>
      <c r="B472" s="2"/>
      <c r="C472" s="2"/>
      <c r="D472" s="2"/>
      <c r="E472" s="2"/>
      <c r="F472" s="2"/>
      <c r="G472" s="2"/>
    </row>
    <row r="473" customFormat="false" ht="15.75" hidden="false" customHeight="true" outlineLevel="0" collapsed="false">
      <c r="A473" s="2"/>
      <c r="B473" s="2"/>
      <c r="C473" s="2"/>
      <c r="D473" s="2"/>
      <c r="E473" s="2"/>
      <c r="F473" s="2"/>
      <c r="G473" s="2"/>
    </row>
    <row r="474" customFormat="false" ht="15.75" hidden="false" customHeight="true" outlineLevel="0" collapsed="false">
      <c r="A474" s="2"/>
      <c r="B474" s="2"/>
      <c r="C474" s="2"/>
      <c r="D474" s="2"/>
      <c r="E474" s="2"/>
      <c r="F474" s="2"/>
      <c r="G474" s="2"/>
    </row>
    <row r="475" customFormat="false" ht="15.75" hidden="false" customHeight="true" outlineLevel="0" collapsed="false">
      <c r="A475" s="2"/>
      <c r="B475" s="2"/>
      <c r="C475" s="2"/>
      <c r="D475" s="2"/>
      <c r="E475" s="2"/>
      <c r="F475" s="2"/>
      <c r="G475" s="2"/>
    </row>
    <row r="476" customFormat="false" ht="15.75" hidden="false" customHeight="true" outlineLevel="0" collapsed="false">
      <c r="A476" s="2"/>
      <c r="B476" s="2"/>
      <c r="C476" s="2"/>
      <c r="D476" s="2"/>
      <c r="E476" s="2"/>
      <c r="F476" s="2"/>
      <c r="G476" s="2"/>
    </row>
    <row r="477" customFormat="false" ht="15.75" hidden="false" customHeight="true" outlineLevel="0" collapsed="false">
      <c r="A477" s="2"/>
      <c r="B477" s="2"/>
      <c r="C477" s="2"/>
      <c r="D477" s="2"/>
      <c r="E477" s="2"/>
      <c r="F477" s="2"/>
      <c r="G477" s="2"/>
    </row>
    <row r="478" customFormat="false" ht="15.75" hidden="false" customHeight="true" outlineLevel="0" collapsed="false">
      <c r="A478" s="2"/>
      <c r="B478" s="2"/>
      <c r="C478" s="2"/>
      <c r="D478" s="2"/>
      <c r="E478" s="2"/>
      <c r="F478" s="2"/>
      <c r="G478" s="2"/>
    </row>
    <row r="479" customFormat="false" ht="15.75" hidden="false" customHeight="true" outlineLevel="0" collapsed="false">
      <c r="A479" s="2"/>
      <c r="B479" s="2"/>
      <c r="C479" s="2"/>
      <c r="D479" s="2"/>
      <c r="E479" s="2"/>
      <c r="F479" s="2"/>
      <c r="G479" s="2"/>
    </row>
    <row r="480" customFormat="false" ht="15.75" hidden="false" customHeight="true" outlineLevel="0" collapsed="false">
      <c r="A480" s="2"/>
      <c r="B480" s="2"/>
      <c r="C480" s="2"/>
      <c r="D480" s="2"/>
      <c r="E480" s="2"/>
      <c r="F480" s="2"/>
      <c r="G480" s="2"/>
    </row>
    <row r="481" customFormat="false" ht="15.75" hidden="false" customHeight="true" outlineLevel="0" collapsed="false">
      <c r="A481" s="2"/>
      <c r="B481" s="2"/>
      <c r="C481" s="2"/>
      <c r="D481" s="2"/>
      <c r="E481" s="2"/>
      <c r="F481" s="2"/>
      <c r="G481" s="2"/>
    </row>
    <row r="482" customFormat="false" ht="15.75" hidden="false" customHeight="true" outlineLevel="0" collapsed="false">
      <c r="A482" s="2"/>
      <c r="B482" s="2"/>
      <c r="C482" s="2"/>
      <c r="D482" s="2"/>
      <c r="E482" s="2"/>
      <c r="F482" s="2"/>
      <c r="G482" s="2"/>
    </row>
    <row r="483" customFormat="false" ht="15.75" hidden="false" customHeight="true" outlineLevel="0" collapsed="false">
      <c r="A483" s="2"/>
      <c r="B483" s="2"/>
      <c r="C483" s="2"/>
      <c r="D483" s="2"/>
      <c r="E483" s="2"/>
      <c r="F483" s="2"/>
      <c r="G483" s="2"/>
    </row>
    <row r="484" customFormat="false" ht="15.75" hidden="false" customHeight="true" outlineLevel="0" collapsed="false">
      <c r="A484" s="2"/>
      <c r="B484" s="2"/>
      <c r="C484" s="2"/>
      <c r="D484" s="2"/>
      <c r="E484" s="2"/>
      <c r="F484" s="2"/>
      <c r="G484" s="2"/>
    </row>
    <row r="485" customFormat="false" ht="15.75" hidden="false" customHeight="true" outlineLevel="0" collapsed="false">
      <c r="A485" s="2"/>
      <c r="B485" s="2"/>
      <c r="C485" s="2"/>
      <c r="D485" s="2"/>
      <c r="E485" s="2"/>
      <c r="F485" s="2"/>
      <c r="G485" s="2"/>
    </row>
    <row r="486" customFormat="false" ht="15.75" hidden="false" customHeight="true" outlineLevel="0" collapsed="false">
      <c r="A486" s="2"/>
      <c r="B486" s="2"/>
      <c r="C486" s="2"/>
      <c r="D486" s="2"/>
      <c r="E486" s="2"/>
      <c r="F486" s="2"/>
      <c r="G486" s="2"/>
    </row>
    <row r="487" customFormat="false" ht="15.75" hidden="false" customHeight="true" outlineLevel="0" collapsed="false">
      <c r="A487" s="2"/>
      <c r="B487" s="2"/>
      <c r="C487" s="2"/>
      <c r="D487" s="2"/>
      <c r="E487" s="2"/>
      <c r="F487" s="2"/>
      <c r="G487" s="2"/>
    </row>
    <row r="488" customFormat="false" ht="15.75" hidden="false" customHeight="true" outlineLevel="0" collapsed="false">
      <c r="A488" s="2"/>
      <c r="B488" s="2"/>
      <c r="C488" s="2"/>
      <c r="D488" s="2"/>
      <c r="E488" s="2"/>
      <c r="F488" s="2"/>
      <c r="G488" s="2"/>
    </row>
    <row r="489" customFormat="false" ht="15.75" hidden="false" customHeight="true" outlineLevel="0" collapsed="false">
      <c r="A489" s="2"/>
      <c r="B489" s="2"/>
      <c r="C489" s="2"/>
      <c r="D489" s="2"/>
      <c r="E489" s="2"/>
      <c r="F489" s="2"/>
      <c r="G489" s="2"/>
    </row>
    <row r="490" customFormat="false" ht="15.75" hidden="false" customHeight="true" outlineLevel="0" collapsed="false">
      <c r="A490" s="2"/>
      <c r="B490" s="2"/>
      <c r="C490" s="2"/>
      <c r="D490" s="2"/>
      <c r="E490" s="2"/>
      <c r="F490" s="2"/>
      <c r="G490" s="2"/>
    </row>
    <row r="491" customFormat="false" ht="15.75" hidden="false" customHeight="true" outlineLevel="0" collapsed="false">
      <c r="A491" s="2"/>
      <c r="B491" s="2"/>
      <c r="C491" s="2"/>
      <c r="D491" s="2"/>
      <c r="E491" s="2"/>
      <c r="F491" s="2"/>
      <c r="G491" s="2"/>
    </row>
    <row r="492" customFormat="false" ht="15.75" hidden="false" customHeight="true" outlineLevel="0" collapsed="false">
      <c r="A492" s="2"/>
      <c r="B492" s="2"/>
      <c r="C492" s="2"/>
      <c r="D492" s="2"/>
      <c r="E492" s="2"/>
      <c r="F492" s="2"/>
      <c r="G492" s="2"/>
    </row>
    <row r="493" customFormat="false" ht="15.75" hidden="false" customHeight="true" outlineLevel="0" collapsed="false">
      <c r="A493" s="2"/>
      <c r="B493" s="2"/>
      <c r="C493" s="2"/>
      <c r="D493" s="2"/>
      <c r="E493" s="2"/>
      <c r="F493" s="2"/>
      <c r="G493" s="2"/>
    </row>
    <row r="494" customFormat="false" ht="15.75" hidden="false" customHeight="true" outlineLevel="0" collapsed="false">
      <c r="A494" s="2"/>
      <c r="B494" s="2"/>
      <c r="C494" s="2"/>
      <c r="D494" s="2"/>
      <c r="E494" s="2"/>
      <c r="F494" s="2"/>
      <c r="G494" s="2"/>
    </row>
    <row r="495" customFormat="false" ht="15.75" hidden="false" customHeight="true" outlineLevel="0" collapsed="false">
      <c r="A495" s="2"/>
      <c r="B495" s="2"/>
      <c r="C495" s="2"/>
      <c r="D495" s="2"/>
      <c r="E495" s="2"/>
      <c r="F495" s="2"/>
      <c r="G495" s="2"/>
    </row>
    <row r="496" customFormat="false" ht="15.75" hidden="false" customHeight="true" outlineLevel="0" collapsed="false">
      <c r="A496" s="2"/>
      <c r="B496" s="2"/>
      <c r="C496" s="2"/>
      <c r="D496" s="2"/>
      <c r="E496" s="2"/>
      <c r="F496" s="2"/>
      <c r="G496" s="2"/>
    </row>
    <row r="497" customFormat="false" ht="15.75" hidden="false" customHeight="true" outlineLevel="0" collapsed="false">
      <c r="A497" s="2"/>
      <c r="B497" s="2"/>
      <c r="C497" s="2"/>
      <c r="D497" s="2"/>
      <c r="E497" s="2"/>
      <c r="F497" s="2"/>
      <c r="G497" s="2"/>
    </row>
    <row r="498" customFormat="false" ht="15.75" hidden="false" customHeight="true" outlineLevel="0" collapsed="false">
      <c r="A498" s="2"/>
      <c r="B498" s="2"/>
      <c r="C498" s="2"/>
      <c r="D498" s="2"/>
      <c r="E498" s="2"/>
      <c r="F498" s="2"/>
      <c r="G498" s="2"/>
    </row>
    <row r="499" customFormat="false" ht="15.75" hidden="false" customHeight="true" outlineLevel="0" collapsed="false">
      <c r="A499" s="2"/>
      <c r="B499" s="2"/>
      <c r="C499" s="2"/>
      <c r="D499" s="2"/>
      <c r="E499" s="2"/>
      <c r="F499" s="2"/>
      <c r="G499" s="2"/>
    </row>
    <row r="500" customFormat="false" ht="15.75" hidden="false" customHeight="true" outlineLevel="0" collapsed="false">
      <c r="A500" s="2"/>
      <c r="B500" s="2"/>
      <c r="C500" s="2"/>
      <c r="D500" s="2"/>
      <c r="E500" s="2"/>
      <c r="F500" s="2"/>
      <c r="G500" s="2"/>
    </row>
    <row r="501" customFormat="false" ht="15.75" hidden="false" customHeight="true" outlineLevel="0" collapsed="false">
      <c r="A501" s="2"/>
      <c r="B501" s="2"/>
      <c r="C501" s="2"/>
      <c r="D501" s="2"/>
      <c r="E501" s="2"/>
      <c r="F501" s="2"/>
      <c r="G501" s="2"/>
    </row>
    <row r="502" customFormat="false" ht="15.75" hidden="false" customHeight="true" outlineLevel="0" collapsed="false">
      <c r="A502" s="2"/>
      <c r="B502" s="2"/>
      <c r="C502" s="2"/>
      <c r="D502" s="2"/>
      <c r="E502" s="2"/>
      <c r="F502" s="2"/>
      <c r="G502" s="2"/>
    </row>
    <row r="503" customFormat="false" ht="15.75" hidden="false" customHeight="true" outlineLevel="0" collapsed="false">
      <c r="A503" s="2"/>
      <c r="B503" s="2"/>
      <c r="C503" s="2"/>
      <c r="D503" s="2"/>
      <c r="E503" s="2"/>
      <c r="F503" s="2"/>
      <c r="G503" s="2"/>
    </row>
    <row r="504" customFormat="false" ht="15.75" hidden="false" customHeight="true" outlineLevel="0" collapsed="false">
      <c r="A504" s="2"/>
      <c r="B504" s="2"/>
      <c r="C504" s="2"/>
      <c r="D504" s="2"/>
      <c r="E504" s="2"/>
      <c r="F504" s="2"/>
      <c r="G504" s="2"/>
    </row>
    <row r="505" customFormat="false" ht="15.75" hidden="false" customHeight="true" outlineLevel="0" collapsed="false">
      <c r="A505" s="2"/>
      <c r="B505" s="2"/>
      <c r="C505" s="2"/>
      <c r="D505" s="2"/>
      <c r="E505" s="2"/>
      <c r="F505" s="2"/>
      <c r="G505" s="2"/>
    </row>
    <row r="506" customFormat="false" ht="15.75" hidden="false" customHeight="true" outlineLevel="0" collapsed="false">
      <c r="A506" s="2"/>
      <c r="B506" s="2"/>
      <c r="C506" s="2"/>
      <c r="D506" s="2"/>
      <c r="E506" s="2"/>
      <c r="F506" s="2"/>
      <c r="G506" s="2"/>
    </row>
    <row r="507" customFormat="false" ht="15.75" hidden="false" customHeight="true" outlineLevel="0" collapsed="false">
      <c r="A507" s="2"/>
      <c r="B507" s="2"/>
      <c r="C507" s="2"/>
      <c r="D507" s="2"/>
      <c r="E507" s="2"/>
      <c r="F507" s="2"/>
      <c r="G507" s="2"/>
    </row>
    <row r="508" customFormat="false" ht="15.75" hidden="false" customHeight="true" outlineLevel="0" collapsed="false">
      <c r="A508" s="2"/>
      <c r="B508" s="2"/>
      <c r="C508" s="2"/>
      <c r="D508" s="2"/>
      <c r="E508" s="2"/>
      <c r="F508" s="2"/>
      <c r="G508" s="2"/>
    </row>
    <row r="509" customFormat="false" ht="15.75" hidden="false" customHeight="true" outlineLevel="0" collapsed="false">
      <c r="A509" s="2"/>
      <c r="B509" s="2"/>
      <c r="C509" s="2"/>
      <c r="D509" s="2"/>
      <c r="E509" s="2"/>
      <c r="F509" s="2"/>
      <c r="G509" s="2"/>
    </row>
    <row r="510" customFormat="false" ht="15.75" hidden="false" customHeight="true" outlineLevel="0" collapsed="false">
      <c r="A510" s="2"/>
      <c r="B510" s="2"/>
      <c r="C510" s="2"/>
      <c r="D510" s="2"/>
      <c r="E510" s="2"/>
      <c r="F510" s="2"/>
      <c r="G510" s="2"/>
    </row>
    <row r="511" customFormat="false" ht="15.75" hidden="false" customHeight="true" outlineLevel="0" collapsed="false">
      <c r="A511" s="2"/>
      <c r="B511" s="2"/>
      <c r="C511" s="2"/>
      <c r="D511" s="2"/>
      <c r="E511" s="2"/>
      <c r="F511" s="2"/>
      <c r="G511" s="2"/>
    </row>
    <row r="512" customFormat="false" ht="15.75" hidden="false" customHeight="true" outlineLevel="0" collapsed="false">
      <c r="A512" s="2"/>
      <c r="B512" s="2"/>
      <c r="C512" s="2"/>
      <c r="D512" s="2"/>
      <c r="E512" s="2"/>
      <c r="F512" s="2"/>
      <c r="G512" s="2"/>
    </row>
    <row r="513" customFormat="false" ht="15.75" hidden="false" customHeight="true" outlineLevel="0" collapsed="false">
      <c r="A513" s="2"/>
      <c r="B513" s="2"/>
      <c r="C513" s="2"/>
      <c r="D513" s="2"/>
      <c r="E513" s="2"/>
      <c r="F513" s="2"/>
      <c r="G513" s="2"/>
    </row>
    <row r="514" customFormat="false" ht="15.75" hidden="false" customHeight="true" outlineLevel="0" collapsed="false">
      <c r="A514" s="2"/>
      <c r="B514" s="2"/>
      <c r="C514" s="2"/>
      <c r="D514" s="2"/>
      <c r="E514" s="2"/>
      <c r="F514" s="2"/>
      <c r="G514" s="2"/>
    </row>
    <row r="515" customFormat="false" ht="15.75" hidden="false" customHeight="true" outlineLevel="0" collapsed="false">
      <c r="A515" s="2"/>
      <c r="B515" s="2"/>
      <c r="C515" s="2"/>
      <c r="D515" s="2"/>
      <c r="E515" s="2"/>
      <c r="F515" s="2"/>
      <c r="G515" s="2"/>
    </row>
    <row r="516" customFormat="false" ht="15.75" hidden="false" customHeight="true" outlineLevel="0" collapsed="false">
      <c r="A516" s="2"/>
      <c r="B516" s="2"/>
      <c r="C516" s="2"/>
      <c r="D516" s="2"/>
      <c r="E516" s="2"/>
      <c r="F516" s="2"/>
      <c r="G516" s="2"/>
    </row>
    <row r="517" customFormat="false" ht="15.75" hidden="false" customHeight="true" outlineLevel="0" collapsed="false">
      <c r="A517" s="2"/>
      <c r="B517" s="2"/>
      <c r="C517" s="2"/>
      <c r="D517" s="2"/>
      <c r="E517" s="2"/>
      <c r="F517" s="2"/>
      <c r="G517" s="2"/>
    </row>
    <row r="518" customFormat="false" ht="15.75" hidden="false" customHeight="true" outlineLevel="0" collapsed="false">
      <c r="A518" s="2"/>
      <c r="B518" s="2"/>
      <c r="C518" s="2"/>
      <c r="D518" s="2"/>
      <c r="E518" s="2"/>
      <c r="F518" s="2"/>
      <c r="G518" s="2"/>
    </row>
    <row r="519" customFormat="false" ht="15.75" hidden="false" customHeight="true" outlineLevel="0" collapsed="false">
      <c r="A519" s="2"/>
      <c r="B519" s="2"/>
      <c r="C519" s="2"/>
      <c r="D519" s="2"/>
      <c r="E519" s="2"/>
      <c r="F519" s="2"/>
      <c r="G519" s="2"/>
    </row>
    <row r="520" customFormat="false" ht="15.75" hidden="false" customHeight="true" outlineLevel="0" collapsed="false">
      <c r="A520" s="2"/>
      <c r="B520" s="2"/>
      <c r="C520" s="2"/>
      <c r="D520" s="2"/>
      <c r="E520" s="2"/>
      <c r="F520" s="2"/>
      <c r="G520" s="2"/>
    </row>
    <row r="521" customFormat="false" ht="15.75" hidden="false" customHeight="true" outlineLevel="0" collapsed="false">
      <c r="A521" s="2"/>
      <c r="B521" s="2"/>
      <c r="C521" s="2"/>
      <c r="D521" s="2"/>
      <c r="E521" s="2"/>
      <c r="F521" s="2"/>
      <c r="G521" s="2"/>
    </row>
    <row r="522" customFormat="false" ht="15.75" hidden="false" customHeight="true" outlineLevel="0" collapsed="false">
      <c r="A522" s="2"/>
      <c r="B522" s="2"/>
      <c r="C522" s="2"/>
      <c r="D522" s="2"/>
      <c r="E522" s="2"/>
      <c r="F522" s="2"/>
      <c r="G522" s="2"/>
    </row>
    <row r="523" customFormat="false" ht="15.75" hidden="false" customHeight="true" outlineLevel="0" collapsed="false">
      <c r="A523" s="2"/>
      <c r="B523" s="2"/>
      <c r="C523" s="2"/>
      <c r="D523" s="2"/>
      <c r="E523" s="2"/>
      <c r="F523" s="2"/>
      <c r="G523" s="2"/>
    </row>
    <row r="524" customFormat="false" ht="15.75" hidden="false" customHeight="true" outlineLevel="0" collapsed="false">
      <c r="A524" s="2"/>
      <c r="B524" s="2"/>
      <c r="C524" s="2"/>
      <c r="D524" s="2"/>
      <c r="E524" s="2"/>
      <c r="F524" s="2"/>
      <c r="G524" s="2"/>
    </row>
    <row r="525" customFormat="false" ht="15.75" hidden="false" customHeight="true" outlineLevel="0" collapsed="false">
      <c r="A525" s="2"/>
      <c r="B525" s="2"/>
      <c r="C525" s="2"/>
      <c r="D525" s="2"/>
      <c r="E525" s="2"/>
      <c r="F525" s="2"/>
      <c r="G525" s="2"/>
    </row>
    <row r="526" customFormat="false" ht="15.75" hidden="false" customHeight="true" outlineLevel="0" collapsed="false">
      <c r="A526" s="2"/>
      <c r="B526" s="2"/>
      <c r="C526" s="2"/>
      <c r="D526" s="2"/>
      <c r="E526" s="2"/>
      <c r="F526" s="2"/>
      <c r="G526" s="2"/>
    </row>
    <row r="527" customFormat="false" ht="15.75" hidden="false" customHeight="true" outlineLevel="0" collapsed="false">
      <c r="A527" s="2"/>
      <c r="B527" s="2"/>
      <c r="C527" s="2"/>
      <c r="D527" s="2"/>
      <c r="E527" s="2"/>
      <c r="F527" s="2"/>
      <c r="G527" s="2"/>
    </row>
    <row r="528" customFormat="false" ht="15.75" hidden="false" customHeight="true" outlineLevel="0" collapsed="false">
      <c r="A528" s="2"/>
      <c r="B528" s="2"/>
      <c r="C528" s="2"/>
      <c r="D528" s="2"/>
      <c r="E528" s="2"/>
      <c r="F528" s="2"/>
      <c r="G528" s="2"/>
    </row>
    <row r="529" customFormat="false" ht="15.75" hidden="false" customHeight="true" outlineLevel="0" collapsed="false">
      <c r="A529" s="2"/>
      <c r="B529" s="2"/>
      <c r="C529" s="2"/>
      <c r="D529" s="2"/>
      <c r="E529" s="2"/>
      <c r="F529" s="2"/>
      <c r="G529" s="2"/>
    </row>
    <row r="530" customFormat="false" ht="15.75" hidden="false" customHeight="true" outlineLevel="0" collapsed="false">
      <c r="A530" s="2"/>
      <c r="B530" s="2"/>
      <c r="C530" s="2"/>
      <c r="D530" s="2"/>
      <c r="E530" s="2"/>
      <c r="F530" s="2"/>
      <c r="G530" s="2"/>
    </row>
    <row r="531" customFormat="false" ht="15.75" hidden="false" customHeight="true" outlineLevel="0" collapsed="false">
      <c r="A531" s="2"/>
      <c r="B531" s="2"/>
      <c r="C531" s="2"/>
      <c r="D531" s="2"/>
      <c r="E531" s="2"/>
      <c r="F531" s="2"/>
      <c r="G531" s="2"/>
    </row>
    <row r="532" customFormat="false" ht="15.75" hidden="false" customHeight="true" outlineLevel="0" collapsed="false">
      <c r="A532" s="2"/>
      <c r="B532" s="2"/>
      <c r="C532" s="2"/>
      <c r="D532" s="2"/>
      <c r="E532" s="2"/>
      <c r="F532" s="2"/>
      <c r="G532" s="2"/>
    </row>
    <row r="533" customFormat="false" ht="15.75" hidden="false" customHeight="true" outlineLevel="0" collapsed="false">
      <c r="A533" s="2"/>
      <c r="B533" s="2"/>
      <c r="C533" s="2"/>
      <c r="D533" s="2"/>
      <c r="E533" s="2"/>
      <c r="F533" s="2"/>
      <c r="G533" s="2"/>
    </row>
    <row r="534" customFormat="false" ht="15.75" hidden="false" customHeight="true" outlineLevel="0" collapsed="false">
      <c r="A534" s="2"/>
      <c r="B534" s="2"/>
      <c r="C534" s="2"/>
      <c r="D534" s="2"/>
      <c r="E534" s="2"/>
      <c r="F534" s="2"/>
      <c r="G534" s="2"/>
    </row>
    <row r="535" customFormat="false" ht="15.75" hidden="false" customHeight="true" outlineLevel="0" collapsed="false">
      <c r="A535" s="2"/>
      <c r="B535" s="2"/>
      <c r="C535" s="2"/>
      <c r="D535" s="2"/>
      <c r="E535" s="2"/>
      <c r="F535" s="2"/>
      <c r="G535" s="2"/>
    </row>
    <row r="536" customFormat="false" ht="15.75" hidden="false" customHeight="true" outlineLevel="0" collapsed="false">
      <c r="A536" s="2"/>
      <c r="B536" s="2"/>
      <c r="C536" s="2"/>
      <c r="D536" s="2"/>
      <c r="E536" s="2"/>
      <c r="F536" s="2"/>
      <c r="G536" s="2"/>
    </row>
    <row r="537" customFormat="false" ht="15.75" hidden="false" customHeight="true" outlineLevel="0" collapsed="false">
      <c r="A537" s="2"/>
      <c r="B537" s="2"/>
      <c r="C537" s="2"/>
      <c r="D537" s="2"/>
      <c r="E537" s="2"/>
      <c r="F537" s="2"/>
      <c r="G537" s="2"/>
    </row>
    <row r="538" customFormat="false" ht="15.75" hidden="false" customHeight="true" outlineLevel="0" collapsed="false">
      <c r="A538" s="2"/>
      <c r="B538" s="2"/>
      <c r="C538" s="2"/>
      <c r="D538" s="2"/>
      <c r="E538" s="2"/>
      <c r="F538" s="2"/>
      <c r="G538" s="2"/>
    </row>
    <row r="539" customFormat="false" ht="15.75" hidden="false" customHeight="true" outlineLevel="0" collapsed="false">
      <c r="A539" s="2"/>
      <c r="B539" s="2"/>
      <c r="C539" s="2"/>
      <c r="D539" s="2"/>
      <c r="E539" s="2"/>
      <c r="F539" s="2"/>
      <c r="G539" s="2"/>
    </row>
    <row r="540" customFormat="false" ht="15.75" hidden="false" customHeight="true" outlineLevel="0" collapsed="false">
      <c r="A540" s="2"/>
      <c r="B540" s="2"/>
      <c r="C540" s="2"/>
      <c r="D540" s="2"/>
      <c r="E540" s="2"/>
      <c r="F540" s="2"/>
      <c r="G540" s="2"/>
    </row>
    <row r="541" customFormat="false" ht="15.75" hidden="false" customHeight="true" outlineLevel="0" collapsed="false">
      <c r="A541" s="2"/>
      <c r="B541" s="2"/>
      <c r="C541" s="2"/>
      <c r="D541" s="2"/>
      <c r="E541" s="2"/>
      <c r="F541" s="2"/>
      <c r="G541" s="2"/>
    </row>
    <row r="542" customFormat="false" ht="15.75" hidden="false" customHeight="true" outlineLevel="0" collapsed="false">
      <c r="A542" s="2"/>
      <c r="B542" s="2"/>
      <c r="C542" s="2"/>
      <c r="D542" s="2"/>
      <c r="E542" s="2"/>
      <c r="F542" s="2"/>
      <c r="G542" s="2"/>
    </row>
    <row r="543" customFormat="false" ht="15.75" hidden="false" customHeight="true" outlineLevel="0" collapsed="false">
      <c r="A543" s="2"/>
      <c r="B543" s="2"/>
      <c r="C543" s="2"/>
      <c r="D543" s="2"/>
      <c r="E543" s="2"/>
      <c r="F543" s="2"/>
      <c r="G543" s="2"/>
    </row>
    <row r="544" customFormat="false" ht="15.75" hidden="false" customHeight="true" outlineLevel="0" collapsed="false">
      <c r="A544" s="2"/>
      <c r="B544" s="2"/>
      <c r="C544" s="2"/>
      <c r="D544" s="2"/>
      <c r="E544" s="2"/>
      <c r="F544" s="2"/>
      <c r="G544" s="2"/>
    </row>
    <row r="545" customFormat="false" ht="15.75" hidden="false" customHeight="true" outlineLevel="0" collapsed="false">
      <c r="A545" s="2"/>
      <c r="B545" s="2"/>
      <c r="C545" s="2"/>
      <c r="D545" s="2"/>
      <c r="E545" s="2"/>
      <c r="F545" s="2"/>
      <c r="G545" s="2"/>
    </row>
    <row r="546" customFormat="false" ht="15.75" hidden="false" customHeight="true" outlineLevel="0" collapsed="false">
      <c r="A546" s="2"/>
      <c r="B546" s="2"/>
      <c r="C546" s="2"/>
      <c r="D546" s="2"/>
      <c r="E546" s="2"/>
      <c r="F546" s="2"/>
      <c r="G546" s="2"/>
    </row>
    <row r="547" customFormat="false" ht="15.75" hidden="false" customHeight="true" outlineLevel="0" collapsed="false">
      <c r="A547" s="2"/>
      <c r="B547" s="2"/>
      <c r="C547" s="2"/>
      <c r="D547" s="2"/>
      <c r="E547" s="2"/>
      <c r="F547" s="2"/>
      <c r="G547" s="2"/>
    </row>
    <row r="548" customFormat="false" ht="15.75" hidden="false" customHeight="true" outlineLevel="0" collapsed="false">
      <c r="A548" s="2"/>
      <c r="B548" s="2"/>
      <c r="C548" s="2"/>
      <c r="D548" s="2"/>
      <c r="E548" s="2"/>
      <c r="F548" s="2"/>
      <c r="G548" s="2"/>
    </row>
    <row r="549" customFormat="false" ht="15.75" hidden="false" customHeight="true" outlineLevel="0" collapsed="false">
      <c r="A549" s="2"/>
      <c r="B549" s="2"/>
      <c r="C549" s="2"/>
      <c r="D549" s="2"/>
      <c r="E549" s="2"/>
      <c r="F549" s="2"/>
      <c r="G549" s="2"/>
    </row>
    <row r="550" customFormat="false" ht="15.75" hidden="false" customHeight="true" outlineLevel="0" collapsed="false">
      <c r="A550" s="2"/>
      <c r="B550" s="2"/>
      <c r="C550" s="2"/>
      <c r="D550" s="2"/>
      <c r="E550" s="2"/>
      <c r="F550" s="2"/>
      <c r="G550" s="2"/>
    </row>
    <row r="551" customFormat="false" ht="15.75" hidden="false" customHeight="true" outlineLevel="0" collapsed="false">
      <c r="A551" s="2"/>
      <c r="B551" s="2"/>
      <c r="C551" s="2"/>
      <c r="D551" s="2"/>
      <c r="E551" s="2"/>
      <c r="F551" s="2"/>
      <c r="G551" s="2"/>
    </row>
    <row r="552" customFormat="false" ht="15.75" hidden="false" customHeight="true" outlineLevel="0" collapsed="false">
      <c r="A552" s="2"/>
      <c r="B552" s="2"/>
      <c r="C552" s="2"/>
      <c r="D552" s="2"/>
      <c r="E552" s="2"/>
      <c r="F552" s="2"/>
      <c r="G552" s="2"/>
    </row>
    <row r="553" customFormat="false" ht="15.75" hidden="false" customHeight="true" outlineLevel="0" collapsed="false">
      <c r="A553" s="2"/>
      <c r="B553" s="2"/>
      <c r="C553" s="2"/>
      <c r="D553" s="2"/>
      <c r="E553" s="2"/>
      <c r="F553" s="2"/>
      <c r="G553" s="2"/>
    </row>
    <row r="554" customFormat="false" ht="15.75" hidden="false" customHeight="true" outlineLevel="0" collapsed="false">
      <c r="A554" s="2"/>
      <c r="B554" s="2"/>
      <c r="C554" s="2"/>
      <c r="D554" s="2"/>
      <c r="E554" s="2"/>
      <c r="F554" s="2"/>
      <c r="G554" s="2"/>
    </row>
    <row r="555" customFormat="false" ht="15.75" hidden="false" customHeight="true" outlineLevel="0" collapsed="false">
      <c r="A555" s="2"/>
      <c r="B555" s="2"/>
      <c r="C555" s="2"/>
      <c r="D555" s="2"/>
      <c r="E555" s="2"/>
      <c r="F555" s="2"/>
      <c r="G555" s="2"/>
    </row>
    <row r="556" customFormat="false" ht="15.75" hidden="false" customHeight="true" outlineLevel="0" collapsed="false">
      <c r="A556" s="2"/>
      <c r="B556" s="2"/>
      <c r="C556" s="2"/>
      <c r="D556" s="2"/>
      <c r="E556" s="2"/>
      <c r="F556" s="2"/>
      <c r="G556" s="2"/>
    </row>
    <row r="557" customFormat="false" ht="15.75" hidden="false" customHeight="true" outlineLevel="0" collapsed="false">
      <c r="A557" s="2"/>
      <c r="B557" s="2"/>
      <c r="C557" s="2"/>
      <c r="D557" s="2"/>
      <c r="E557" s="2"/>
      <c r="F557" s="2"/>
      <c r="G557" s="2"/>
    </row>
    <row r="558" customFormat="false" ht="15.75" hidden="false" customHeight="true" outlineLevel="0" collapsed="false">
      <c r="A558" s="2"/>
      <c r="B558" s="2"/>
      <c r="C558" s="2"/>
      <c r="D558" s="2"/>
      <c r="E558" s="2"/>
      <c r="F558" s="2"/>
      <c r="G558" s="2"/>
    </row>
    <row r="559" customFormat="false" ht="15.75" hidden="false" customHeight="true" outlineLevel="0" collapsed="false">
      <c r="A559" s="2"/>
      <c r="B559" s="2"/>
      <c r="C559" s="2"/>
      <c r="D559" s="2"/>
      <c r="E559" s="2"/>
      <c r="F559" s="2"/>
      <c r="G559" s="2"/>
    </row>
    <row r="560" customFormat="false" ht="15.75" hidden="false" customHeight="true" outlineLevel="0" collapsed="false">
      <c r="A560" s="2"/>
      <c r="B560" s="2"/>
      <c r="C560" s="2"/>
      <c r="D560" s="2"/>
      <c r="E560" s="2"/>
      <c r="F560" s="2"/>
      <c r="G560" s="2"/>
    </row>
    <row r="561" customFormat="false" ht="15.75" hidden="false" customHeight="true" outlineLevel="0" collapsed="false">
      <c r="A561" s="2"/>
      <c r="B561" s="2"/>
      <c r="C561" s="2"/>
      <c r="D561" s="2"/>
      <c r="E561" s="2"/>
      <c r="F561" s="2"/>
      <c r="G561" s="2"/>
    </row>
    <row r="562" customFormat="false" ht="15.75" hidden="false" customHeight="true" outlineLevel="0" collapsed="false">
      <c r="A562" s="2"/>
      <c r="B562" s="2"/>
      <c r="C562" s="2"/>
      <c r="D562" s="2"/>
      <c r="E562" s="2"/>
      <c r="F562" s="2"/>
      <c r="G562" s="2"/>
    </row>
    <row r="563" customFormat="false" ht="15.75" hidden="false" customHeight="true" outlineLevel="0" collapsed="false">
      <c r="A563" s="2"/>
      <c r="B563" s="2"/>
      <c r="C563" s="2"/>
      <c r="D563" s="2"/>
      <c r="E563" s="2"/>
      <c r="F563" s="2"/>
      <c r="G563" s="2"/>
    </row>
    <row r="564" customFormat="false" ht="15.75" hidden="false" customHeight="true" outlineLevel="0" collapsed="false">
      <c r="A564" s="2"/>
      <c r="B564" s="2"/>
      <c r="C564" s="2"/>
      <c r="D564" s="2"/>
      <c r="E564" s="2"/>
      <c r="F564" s="2"/>
      <c r="G564" s="2"/>
    </row>
    <row r="565" customFormat="false" ht="15.75" hidden="false" customHeight="true" outlineLevel="0" collapsed="false">
      <c r="A565" s="2"/>
      <c r="B565" s="2"/>
      <c r="C565" s="2"/>
      <c r="D565" s="2"/>
      <c r="E565" s="2"/>
      <c r="F565" s="2"/>
      <c r="G565" s="2"/>
    </row>
    <row r="566" customFormat="false" ht="15.75" hidden="false" customHeight="true" outlineLevel="0" collapsed="false">
      <c r="A566" s="2"/>
      <c r="B566" s="2"/>
      <c r="C566" s="2"/>
      <c r="D566" s="2"/>
      <c r="E566" s="2"/>
      <c r="F566" s="2"/>
      <c r="G566" s="2"/>
    </row>
    <row r="567" customFormat="false" ht="15.75" hidden="false" customHeight="true" outlineLevel="0" collapsed="false">
      <c r="A567" s="2"/>
      <c r="B567" s="2"/>
      <c r="C567" s="2"/>
      <c r="D567" s="2"/>
      <c r="E567" s="2"/>
      <c r="F567" s="2"/>
      <c r="G567" s="2"/>
    </row>
    <row r="568" customFormat="false" ht="15.75" hidden="false" customHeight="true" outlineLevel="0" collapsed="false">
      <c r="A568" s="2"/>
      <c r="B568" s="2"/>
      <c r="C568" s="2"/>
      <c r="D568" s="2"/>
      <c r="E568" s="2"/>
      <c r="F568" s="2"/>
      <c r="G568" s="2"/>
    </row>
    <row r="569" customFormat="false" ht="15.75" hidden="false" customHeight="true" outlineLevel="0" collapsed="false">
      <c r="A569" s="2"/>
      <c r="B569" s="2"/>
      <c r="C569" s="2"/>
      <c r="D569" s="2"/>
      <c r="E569" s="2"/>
      <c r="F569" s="2"/>
      <c r="G569" s="2"/>
    </row>
    <row r="570" customFormat="false" ht="15.75" hidden="false" customHeight="true" outlineLevel="0" collapsed="false">
      <c r="A570" s="2"/>
      <c r="B570" s="2"/>
      <c r="C570" s="2"/>
      <c r="D570" s="2"/>
      <c r="E570" s="2"/>
      <c r="F570" s="2"/>
      <c r="G570" s="2"/>
    </row>
    <row r="571" customFormat="false" ht="15.75" hidden="false" customHeight="true" outlineLevel="0" collapsed="false">
      <c r="A571" s="2"/>
      <c r="B571" s="2"/>
      <c r="C571" s="2"/>
      <c r="D571" s="2"/>
      <c r="E571" s="2"/>
      <c r="F571" s="2"/>
      <c r="G571" s="2"/>
    </row>
    <row r="572" customFormat="false" ht="15.75" hidden="false" customHeight="true" outlineLevel="0" collapsed="false">
      <c r="A572" s="2"/>
      <c r="B572" s="2"/>
      <c r="C572" s="2"/>
      <c r="D572" s="2"/>
      <c r="E572" s="2"/>
      <c r="F572" s="2"/>
      <c r="G572" s="2"/>
    </row>
    <row r="573" customFormat="false" ht="15.75" hidden="false" customHeight="true" outlineLevel="0" collapsed="false">
      <c r="A573" s="2"/>
      <c r="B573" s="2"/>
      <c r="C573" s="2"/>
      <c r="D573" s="2"/>
      <c r="E573" s="2"/>
      <c r="F573" s="2"/>
      <c r="G573" s="2"/>
    </row>
    <row r="574" customFormat="false" ht="15.75" hidden="false" customHeight="true" outlineLevel="0" collapsed="false">
      <c r="A574" s="2"/>
      <c r="B574" s="2"/>
      <c r="C574" s="2"/>
      <c r="D574" s="2"/>
      <c r="E574" s="2"/>
      <c r="F574" s="2"/>
      <c r="G574" s="2"/>
    </row>
    <row r="575" customFormat="false" ht="15.75" hidden="false" customHeight="true" outlineLevel="0" collapsed="false">
      <c r="A575" s="2"/>
      <c r="B575" s="2"/>
      <c r="C575" s="2"/>
      <c r="D575" s="2"/>
      <c r="E575" s="2"/>
      <c r="F575" s="2"/>
      <c r="G575" s="2"/>
    </row>
    <row r="576" customFormat="false" ht="15.75" hidden="false" customHeight="true" outlineLevel="0" collapsed="false">
      <c r="A576" s="2"/>
      <c r="B576" s="2"/>
      <c r="C576" s="2"/>
      <c r="D576" s="2"/>
      <c r="E576" s="2"/>
      <c r="F576" s="2"/>
      <c r="G576" s="2"/>
    </row>
    <row r="577" customFormat="false" ht="15.75" hidden="false" customHeight="true" outlineLevel="0" collapsed="false">
      <c r="A577" s="2"/>
      <c r="B577" s="2"/>
      <c r="C577" s="2"/>
      <c r="D577" s="2"/>
      <c r="E577" s="2"/>
      <c r="F577" s="2"/>
      <c r="G577" s="2"/>
    </row>
    <row r="578" customFormat="false" ht="15.75" hidden="false" customHeight="true" outlineLevel="0" collapsed="false">
      <c r="A578" s="2"/>
      <c r="B578" s="2"/>
      <c r="C578" s="2"/>
      <c r="D578" s="2"/>
      <c r="E578" s="2"/>
      <c r="F578" s="2"/>
      <c r="G578" s="2"/>
    </row>
    <row r="579" customFormat="false" ht="15.75" hidden="false" customHeight="true" outlineLevel="0" collapsed="false">
      <c r="A579" s="2"/>
      <c r="B579" s="2"/>
      <c r="C579" s="2"/>
      <c r="D579" s="2"/>
      <c r="E579" s="2"/>
      <c r="F579" s="2"/>
      <c r="G579" s="2"/>
    </row>
    <row r="580" customFormat="false" ht="15.75" hidden="false" customHeight="true" outlineLevel="0" collapsed="false">
      <c r="A580" s="2"/>
      <c r="B580" s="2"/>
      <c r="C580" s="2"/>
      <c r="D580" s="2"/>
      <c r="E580" s="2"/>
      <c r="F580" s="2"/>
      <c r="G580" s="2"/>
    </row>
    <row r="581" customFormat="false" ht="15.75" hidden="false" customHeight="true" outlineLevel="0" collapsed="false">
      <c r="A581" s="2"/>
      <c r="B581" s="2"/>
      <c r="C581" s="2"/>
      <c r="D581" s="2"/>
      <c r="E581" s="2"/>
      <c r="F581" s="2"/>
      <c r="G581" s="2"/>
    </row>
    <row r="582" customFormat="false" ht="15.75" hidden="false" customHeight="true" outlineLevel="0" collapsed="false">
      <c r="A582" s="2"/>
      <c r="B582" s="2"/>
      <c r="C582" s="2"/>
      <c r="D582" s="2"/>
      <c r="E582" s="2"/>
      <c r="F582" s="2"/>
      <c r="G582" s="2"/>
    </row>
    <row r="583" customFormat="false" ht="15.75" hidden="false" customHeight="true" outlineLevel="0" collapsed="false">
      <c r="A583" s="2"/>
      <c r="B583" s="2"/>
      <c r="C583" s="2"/>
      <c r="D583" s="2"/>
      <c r="E583" s="2"/>
      <c r="F583" s="2"/>
      <c r="G583" s="2"/>
    </row>
    <row r="584" customFormat="false" ht="15.75" hidden="false" customHeight="true" outlineLevel="0" collapsed="false">
      <c r="A584" s="2"/>
      <c r="B584" s="2"/>
      <c r="C584" s="2"/>
      <c r="D584" s="2"/>
      <c r="E584" s="2"/>
      <c r="F584" s="2"/>
      <c r="G584" s="2"/>
    </row>
    <row r="585" customFormat="false" ht="15.75" hidden="false" customHeight="true" outlineLevel="0" collapsed="false">
      <c r="A585" s="2"/>
      <c r="B585" s="2"/>
      <c r="C585" s="2"/>
      <c r="D585" s="2"/>
      <c r="E585" s="2"/>
      <c r="F585" s="2"/>
      <c r="G585" s="2"/>
    </row>
    <row r="586" customFormat="false" ht="15.75" hidden="false" customHeight="true" outlineLevel="0" collapsed="false">
      <c r="A586" s="2"/>
      <c r="B586" s="2"/>
      <c r="C586" s="2"/>
      <c r="D586" s="2"/>
      <c r="E586" s="2"/>
      <c r="F586" s="2"/>
      <c r="G586" s="2"/>
    </row>
    <row r="587" customFormat="false" ht="15.75" hidden="false" customHeight="true" outlineLevel="0" collapsed="false">
      <c r="A587" s="2"/>
      <c r="B587" s="2"/>
      <c r="C587" s="2"/>
      <c r="D587" s="2"/>
      <c r="E587" s="2"/>
      <c r="F587" s="2"/>
      <c r="G587" s="2"/>
    </row>
    <row r="588" customFormat="false" ht="15.75" hidden="false" customHeight="true" outlineLevel="0" collapsed="false">
      <c r="A588" s="2"/>
      <c r="B588" s="2"/>
      <c r="C588" s="2"/>
      <c r="D588" s="2"/>
      <c r="E588" s="2"/>
      <c r="F588" s="2"/>
      <c r="G588" s="2"/>
    </row>
    <row r="589" customFormat="false" ht="15.75" hidden="false" customHeight="true" outlineLevel="0" collapsed="false">
      <c r="A589" s="2"/>
      <c r="B589" s="2"/>
      <c r="C589" s="2"/>
      <c r="D589" s="2"/>
      <c r="E589" s="2"/>
      <c r="F589" s="2"/>
      <c r="G589" s="2"/>
    </row>
    <row r="590" customFormat="false" ht="15.75" hidden="false" customHeight="true" outlineLevel="0" collapsed="false">
      <c r="A590" s="2"/>
      <c r="B590" s="2"/>
      <c r="C590" s="2"/>
      <c r="D590" s="2"/>
      <c r="E590" s="2"/>
      <c r="F590" s="2"/>
      <c r="G590" s="2"/>
    </row>
    <row r="591" customFormat="false" ht="15.75" hidden="false" customHeight="true" outlineLevel="0" collapsed="false">
      <c r="A591" s="2"/>
      <c r="B591" s="2"/>
      <c r="C591" s="2"/>
      <c r="D591" s="2"/>
      <c r="E591" s="2"/>
      <c r="F591" s="2"/>
      <c r="G591" s="2"/>
    </row>
    <row r="592" customFormat="false" ht="15.75" hidden="false" customHeight="true" outlineLevel="0" collapsed="false">
      <c r="A592" s="2"/>
      <c r="B592" s="2"/>
      <c r="C592" s="2"/>
      <c r="D592" s="2"/>
      <c r="E592" s="2"/>
      <c r="F592" s="2"/>
      <c r="G592" s="2"/>
    </row>
    <row r="593" customFormat="false" ht="15.75" hidden="false" customHeight="true" outlineLevel="0" collapsed="false">
      <c r="A593" s="2"/>
      <c r="B593" s="2"/>
      <c r="C593" s="2"/>
      <c r="D593" s="2"/>
      <c r="E593" s="2"/>
      <c r="F593" s="2"/>
      <c r="G593" s="2"/>
    </row>
    <row r="594" customFormat="false" ht="15.75" hidden="false" customHeight="true" outlineLevel="0" collapsed="false">
      <c r="A594" s="2"/>
      <c r="B594" s="2"/>
      <c r="C594" s="2"/>
      <c r="D594" s="2"/>
      <c r="E594" s="2"/>
      <c r="F594" s="2"/>
      <c r="G594" s="2"/>
    </row>
    <row r="595" customFormat="false" ht="15.75" hidden="false" customHeight="true" outlineLevel="0" collapsed="false">
      <c r="A595" s="2"/>
      <c r="B595" s="2"/>
      <c r="C595" s="2"/>
      <c r="D595" s="2"/>
      <c r="E595" s="2"/>
      <c r="F595" s="2"/>
      <c r="G595" s="2"/>
    </row>
    <row r="596" customFormat="false" ht="15.75" hidden="false" customHeight="true" outlineLevel="0" collapsed="false">
      <c r="A596" s="2"/>
      <c r="B596" s="2"/>
      <c r="C596" s="2"/>
      <c r="D596" s="2"/>
      <c r="E596" s="2"/>
      <c r="F596" s="2"/>
      <c r="G596" s="2"/>
    </row>
    <row r="597" customFormat="false" ht="15.75" hidden="false" customHeight="true" outlineLevel="0" collapsed="false">
      <c r="A597" s="2"/>
      <c r="B597" s="2"/>
      <c r="C597" s="2"/>
      <c r="D597" s="2"/>
      <c r="E597" s="2"/>
      <c r="F597" s="2"/>
      <c r="G597" s="2"/>
    </row>
    <row r="598" customFormat="false" ht="15.75" hidden="false" customHeight="true" outlineLevel="0" collapsed="false">
      <c r="A598" s="2"/>
      <c r="B598" s="2"/>
      <c r="C598" s="2"/>
      <c r="D598" s="2"/>
      <c r="E598" s="2"/>
      <c r="F598" s="2"/>
      <c r="G598" s="2"/>
    </row>
    <row r="599" customFormat="false" ht="15.75" hidden="false" customHeight="true" outlineLevel="0" collapsed="false">
      <c r="A599" s="2"/>
      <c r="B599" s="2"/>
      <c r="C599" s="2"/>
      <c r="D599" s="2"/>
      <c r="E599" s="2"/>
      <c r="F599" s="2"/>
      <c r="G599" s="2"/>
    </row>
    <row r="600" customFormat="false" ht="15.75" hidden="false" customHeight="true" outlineLevel="0" collapsed="false">
      <c r="A600" s="2"/>
      <c r="B600" s="2"/>
      <c r="C600" s="2"/>
      <c r="D600" s="2"/>
      <c r="E600" s="2"/>
      <c r="F600" s="2"/>
      <c r="G600" s="2"/>
    </row>
    <row r="601" customFormat="false" ht="15.75" hidden="false" customHeight="true" outlineLevel="0" collapsed="false">
      <c r="A601" s="2"/>
      <c r="B601" s="2"/>
      <c r="C601" s="2"/>
      <c r="D601" s="2"/>
      <c r="E601" s="2"/>
      <c r="F601" s="2"/>
      <c r="G601" s="2"/>
    </row>
    <row r="602" customFormat="false" ht="15.75" hidden="false" customHeight="true" outlineLevel="0" collapsed="false">
      <c r="A602" s="2"/>
      <c r="B602" s="2"/>
      <c r="C602" s="2"/>
      <c r="D602" s="2"/>
      <c r="E602" s="2"/>
      <c r="F602" s="2"/>
      <c r="G602" s="2"/>
    </row>
    <row r="603" customFormat="false" ht="15.75" hidden="false" customHeight="true" outlineLevel="0" collapsed="false">
      <c r="A603" s="2"/>
      <c r="B603" s="2"/>
      <c r="C603" s="2"/>
      <c r="D603" s="2"/>
      <c r="E603" s="2"/>
      <c r="F603" s="2"/>
      <c r="G603" s="2"/>
    </row>
    <row r="604" customFormat="false" ht="15.75" hidden="false" customHeight="true" outlineLevel="0" collapsed="false">
      <c r="A604" s="2"/>
      <c r="B604" s="2"/>
      <c r="C604" s="2"/>
      <c r="D604" s="2"/>
      <c r="E604" s="2"/>
      <c r="F604" s="2"/>
      <c r="G604" s="2"/>
    </row>
    <row r="605" customFormat="false" ht="15.75" hidden="false" customHeight="true" outlineLevel="0" collapsed="false">
      <c r="A605" s="2"/>
      <c r="B605" s="2"/>
      <c r="C605" s="2"/>
      <c r="D605" s="2"/>
      <c r="E605" s="2"/>
      <c r="F605" s="2"/>
      <c r="G605" s="2"/>
    </row>
    <row r="606" customFormat="false" ht="15.75" hidden="false" customHeight="true" outlineLevel="0" collapsed="false">
      <c r="A606" s="2"/>
      <c r="B606" s="2"/>
      <c r="C606" s="2"/>
      <c r="D606" s="2"/>
      <c r="E606" s="2"/>
      <c r="F606" s="2"/>
      <c r="G606" s="2"/>
    </row>
    <row r="607" customFormat="false" ht="15.75" hidden="false" customHeight="true" outlineLevel="0" collapsed="false">
      <c r="A607" s="2"/>
      <c r="B607" s="2"/>
      <c r="C607" s="2"/>
      <c r="D607" s="2"/>
      <c r="E607" s="2"/>
      <c r="F607" s="2"/>
      <c r="G607" s="2"/>
    </row>
    <row r="608" customFormat="false" ht="15.75" hidden="false" customHeight="true" outlineLevel="0" collapsed="false">
      <c r="A608" s="2"/>
      <c r="B608" s="2"/>
      <c r="C608" s="2"/>
      <c r="D608" s="2"/>
      <c r="E608" s="2"/>
      <c r="F608" s="2"/>
      <c r="G608" s="2"/>
    </row>
    <row r="609" customFormat="false" ht="15.75" hidden="false" customHeight="true" outlineLevel="0" collapsed="false">
      <c r="A609" s="2"/>
      <c r="B609" s="2"/>
      <c r="C609" s="2"/>
      <c r="D609" s="2"/>
      <c r="E609" s="2"/>
      <c r="F609" s="2"/>
      <c r="G609" s="2"/>
    </row>
    <row r="610" customFormat="false" ht="15.75" hidden="false" customHeight="true" outlineLevel="0" collapsed="false">
      <c r="A610" s="2"/>
      <c r="B610" s="2"/>
      <c r="C610" s="2"/>
      <c r="D610" s="2"/>
      <c r="E610" s="2"/>
      <c r="F610" s="2"/>
      <c r="G610" s="2"/>
    </row>
    <row r="611" customFormat="false" ht="15.75" hidden="false" customHeight="true" outlineLevel="0" collapsed="false">
      <c r="A611" s="2"/>
      <c r="B611" s="2"/>
      <c r="C611" s="2"/>
      <c r="D611" s="2"/>
      <c r="E611" s="2"/>
      <c r="F611" s="2"/>
      <c r="G611" s="2"/>
    </row>
    <row r="612" customFormat="false" ht="15.75" hidden="false" customHeight="true" outlineLevel="0" collapsed="false">
      <c r="A612" s="2"/>
      <c r="B612" s="2"/>
      <c r="C612" s="2"/>
      <c r="D612" s="2"/>
      <c r="E612" s="2"/>
      <c r="F612" s="2"/>
      <c r="G612" s="2"/>
    </row>
    <row r="613" customFormat="false" ht="15.75" hidden="false" customHeight="true" outlineLevel="0" collapsed="false">
      <c r="A613" s="2"/>
      <c r="B613" s="2"/>
      <c r="C613" s="2"/>
      <c r="D613" s="2"/>
      <c r="E613" s="2"/>
      <c r="F613" s="2"/>
      <c r="G613" s="2"/>
    </row>
    <row r="614" customFormat="false" ht="15.75" hidden="false" customHeight="true" outlineLevel="0" collapsed="false">
      <c r="A614" s="2"/>
      <c r="B614" s="2"/>
      <c r="C614" s="2"/>
      <c r="D614" s="2"/>
      <c r="E614" s="2"/>
      <c r="F614" s="2"/>
      <c r="G614" s="2"/>
    </row>
    <row r="615" customFormat="false" ht="15.75" hidden="false" customHeight="true" outlineLevel="0" collapsed="false">
      <c r="A615" s="2"/>
      <c r="B615" s="2"/>
      <c r="C615" s="2"/>
      <c r="D615" s="2"/>
      <c r="E615" s="2"/>
      <c r="F615" s="2"/>
      <c r="G615" s="2"/>
    </row>
    <row r="616" customFormat="false" ht="15.75" hidden="false" customHeight="true" outlineLevel="0" collapsed="false">
      <c r="A616" s="2"/>
      <c r="B616" s="2"/>
      <c r="C616" s="2"/>
      <c r="D616" s="2"/>
      <c r="E616" s="2"/>
      <c r="F616" s="2"/>
      <c r="G616" s="2"/>
    </row>
    <row r="617" customFormat="false" ht="15.75" hidden="false" customHeight="true" outlineLevel="0" collapsed="false">
      <c r="A617" s="2"/>
      <c r="B617" s="2"/>
      <c r="C617" s="2"/>
      <c r="D617" s="2"/>
      <c r="E617" s="2"/>
      <c r="F617" s="2"/>
      <c r="G617" s="2"/>
    </row>
    <row r="618" customFormat="false" ht="15.75" hidden="false" customHeight="true" outlineLevel="0" collapsed="false">
      <c r="A618" s="2"/>
      <c r="B618" s="2"/>
      <c r="C618" s="2"/>
      <c r="D618" s="2"/>
      <c r="E618" s="2"/>
      <c r="F618" s="2"/>
      <c r="G618" s="2"/>
    </row>
    <row r="619" customFormat="false" ht="15.75" hidden="false" customHeight="true" outlineLevel="0" collapsed="false">
      <c r="A619" s="2"/>
      <c r="B619" s="2"/>
      <c r="C619" s="2"/>
      <c r="D619" s="2"/>
      <c r="E619" s="2"/>
      <c r="F619" s="2"/>
      <c r="G619" s="2"/>
    </row>
    <row r="620" customFormat="false" ht="15.75" hidden="false" customHeight="true" outlineLevel="0" collapsed="false">
      <c r="A620" s="2"/>
      <c r="B620" s="2"/>
      <c r="C620" s="2"/>
      <c r="D620" s="2"/>
      <c r="E620" s="2"/>
      <c r="F620" s="2"/>
      <c r="G620" s="2"/>
    </row>
    <row r="621" customFormat="false" ht="15.75" hidden="false" customHeight="true" outlineLevel="0" collapsed="false">
      <c r="A621" s="2"/>
      <c r="B621" s="2"/>
      <c r="C621" s="2"/>
      <c r="D621" s="2"/>
      <c r="E621" s="2"/>
      <c r="F621" s="2"/>
      <c r="G621" s="2"/>
    </row>
    <row r="622" customFormat="false" ht="15.75" hidden="false" customHeight="true" outlineLevel="0" collapsed="false">
      <c r="A622" s="2"/>
      <c r="B622" s="2"/>
      <c r="C622" s="2"/>
      <c r="D622" s="2"/>
      <c r="E622" s="2"/>
      <c r="F622" s="2"/>
      <c r="G622" s="2"/>
    </row>
    <row r="623" customFormat="false" ht="15.75" hidden="false" customHeight="true" outlineLevel="0" collapsed="false">
      <c r="A623" s="2"/>
      <c r="B623" s="2"/>
      <c r="C623" s="2"/>
      <c r="D623" s="2"/>
      <c r="E623" s="2"/>
      <c r="F623" s="2"/>
      <c r="G623" s="2"/>
    </row>
    <row r="624" customFormat="false" ht="15.75" hidden="false" customHeight="true" outlineLevel="0" collapsed="false">
      <c r="A624" s="2"/>
      <c r="B624" s="2"/>
      <c r="C624" s="2"/>
      <c r="D624" s="2"/>
      <c r="E624" s="2"/>
      <c r="F624" s="2"/>
      <c r="G624" s="2"/>
    </row>
    <row r="625" customFormat="false" ht="15.75" hidden="false" customHeight="true" outlineLevel="0" collapsed="false">
      <c r="A625" s="2"/>
      <c r="B625" s="2"/>
      <c r="C625" s="2"/>
      <c r="D625" s="2"/>
      <c r="E625" s="2"/>
      <c r="F625" s="2"/>
      <c r="G625" s="2"/>
    </row>
    <row r="626" customFormat="false" ht="15.75" hidden="false" customHeight="true" outlineLevel="0" collapsed="false">
      <c r="A626" s="2"/>
      <c r="B626" s="2"/>
      <c r="C626" s="2"/>
      <c r="D626" s="2"/>
      <c r="E626" s="2"/>
      <c r="F626" s="2"/>
      <c r="G626" s="2"/>
    </row>
    <row r="627" customFormat="false" ht="15.75" hidden="false" customHeight="true" outlineLevel="0" collapsed="false">
      <c r="A627" s="2"/>
      <c r="B627" s="2"/>
      <c r="C627" s="2"/>
      <c r="D627" s="2"/>
      <c r="E627" s="2"/>
      <c r="F627" s="2"/>
      <c r="G627" s="2"/>
    </row>
    <row r="628" customFormat="false" ht="15.75" hidden="false" customHeight="true" outlineLevel="0" collapsed="false">
      <c r="A628" s="2"/>
      <c r="B628" s="2"/>
      <c r="C628" s="2"/>
      <c r="D628" s="2"/>
      <c r="E628" s="2"/>
      <c r="F628" s="2"/>
      <c r="G628" s="2"/>
    </row>
    <row r="629" customFormat="false" ht="15.75" hidden="false" customHeight="true" outlineLevel="0" collapsed="false">
      <c r="A629" s="2"/>
      <c r="B629" s="2"/>
      <c r="C629" s="2"/>
      <c r="D629" s="2"/>
      <c r="E629" s="2"/>
      <c r="F629" s="2"/>
      <c r="G629" s="2"/>
    </row>
    <row r="630" customFormat="false" ht="15.75" hidden="false" customHeight="true" outlineLevel="0" collapsed="false">
      <c r="A630" s="2"/>
      <c r="B630" s="2"/>
      <c r="C630" s="2"/>
      <c r="D630" s="2"/>
      <c r="E630" s="2"/>
      <c r="F630" s="2"/>
      <c r="G630" s="2"/>
    </row>
    <row r="631" customFormat="false" ht="15.75" hidden="false" customHeight="true" outlineLevel="0" collapsed="false">
      <c r="A631" s="2"/>
      <c r="B631" s="2"/>
      <c r="C631" s="2"/>
      <c r="D631" s="2"/>
      <c r="E631" s="2"/>
      <c r="F631" s="2"/>
      <c r="G631" s="2"/>
    </row>
    <row r="632" customFormat="false" ht="15.75" hidden="false" customHeight="true" outlineLevel="0" collapsed="false">
      <c r="A632" s="2"/>
      <c r="B632" s="2"/>
      <c r="C632" s="2"/>
      <c r="D632" s="2"/>
      <c r="E632" s="2"/>
      <c r="F632" s="2"/>
      <c r="G632" s="2"/>
    </row>
    <row r="633" customFormat="false" ht="15.75" hidden="false" customHeight="true" outlineLevel="0" collapsed="false">
      <c r="A633" s="2"/>
      <c r="B633" s="2"/>
      <c r="C633" s="2"/>
      <c r="D633" s="2"/>
      <c r="E633" s="2"/>
      <c r="F633" s="2"/>
      <c r="G633" s="2"/>
    </row>
    <row r="634" customFormat="false" ht="15.75" hidden="false" customHeight="true" outlineLevel="0" collapsed="false">
      <c r="A634" s="2"/>
      <c r="B634" s="2"/>
      <c r="C634" s="2"/>
      <c r="D634" s="2"/>
      <c r="E634" s="2"/>
      <c r="F634" s="2"/>
      <c r="G634" s="2"/>
    </row>
    <row r="635" customFormat="false" ht="15.75" hidden="false" customHeight="true" outlineLevel="0" collapsed="false">
      <c r="A635" s="2"/>
      <c r="B635" s="2"/>
      <c r="C635" s="2"/>
      <c r="D635" s="2"/>
      <c r="E635" s="2"/>
      <c r="F635" s="2"/>
      <c r="G635" s="2"/>
    </row>
    <row r="636" customFormat="false" ht="15.75" hidden="false" customHeight="true" outlineLevel="0" collapsed="false">
      <c r="A636" s="2"/>
      <c r="B636" s="2"/>
      <c r="C636" s="2"/>
      <c r="D636" s="2"/>
      <c r="E636" s="2"/>
      <c r="F636" s="2"/>
      <c r="G636" s="2"/>
    </row>
    <row r="637" customFormat="false" ht="15.75" hidden="false" customHeight="true" outlineLevel="0" collapsed="false">
      <c r="A637" s="2"/>
      <c r="B637" s="2"/>
      <c r="C637" s="2"/>
      <c r="D637" s="2"/>
      <c r="E637" s="2"/>
      <c r="F637" s="2"/>
      <c r="G637" s="2"/>
    </row>
    <row r="638" customFormat="false" ht="15.75" hidden="false" customHeight="true" outlineLevel="0" collapsed="false">
      <c r="A638" s="2"/>
      <c r="B638" s="2"/>
      <c r="C638" s="2"/>
      <c r="D638" s="2"/>
      <c r="E638" s="2"/>
      <c r="F638" s="2"/>
      <c r="G638" s="2"/>
    </row>
    <row r="639" customFormat="false" ht="15.75" hidden="false" customHeight="true" outlineLevel="0" collapsed="false">
      <c r="A639" s="2"/>
      <c r="B639" s="2"/>
      <c r="C639" s="2"/>
      <c r="D639" s="2"/>
      <c r="E639" s="2"/>
      <c r="F639" s="2"/>
      <c r="G639" s="2"/>
    </row>
    <row r="640" customFormat="false" ht="15.75" hidden="false" customHeight="true" outlineLevel="0" collapsed="false">
      <c r="A640" s="2"/>
      <c r="B640" s="2"/>
      <c r="C640" s="2"/>
      <c r="D640" s="2"/>
      <c r="E640" s="2"/>
      <c r="F640" s="2"/>
      <c r="G640" s="2"/>
    </row>
    <row r="641" customFormat="false" ht="15.75" hidden="false" customHeight="true" outlineLevel="0" collapsed="false">
      <c r="A641" s="2"/>
      <c r="B641" s="2"/>
      <c r="C641" s="2"/>
      <c r="D641" s="2"/>
      <c r="E641" s="2"/>
      <c r="F641" s="2"/>
      <c r="G641" s="2"/>
    </row>
    <row r="642" customFormat="false" ht="15.75" hidden="false" customHeight="true" outlineLevel="0" collapsed="false">
      <c r="A642" s="2"/>
      <c r="B642" s="2"/>
      <c r="C642" s="2"/>
      <c r="D642" s="2"/>
      <c r="E642" s="2"/>
      <c r="F642" s="2"/>
      <c r="G642" s="2"/>
    </row>
    <row r="643" customFormat="false" ht="15.75" hidden="false" customHeight="true" outlineLevel="0" collapsed="false">
      <c r="A643" s="2"/>
      <c r="B643" s="2"/>
      <c r="C643" s="2"/>
      <c r="D643" s="2"/>
      <c r="E643" s="2"/>
      <c r="F643" s="2"/>
      <c r="G643" s="2"/>
    </row>
    <row r="644" customFormat="false" ht="15.75" hidden="false" customHeight="true" outlineLevel="0" collapsed="false">
      <c r="A644" s="2"/>
      <c r="B644" s="2"/>
      <c r="C644" s="2"/>
      <c r="D644" s="2"/>
      <c r="E644" s="2"/>
      <c r="F644" s="2"/>
      <c r="G644" s="2"/>
    </row>
    <row r="645" customFormat="false" ht="15.75" hidden="false" customHeight="true" outlineLevel="0" collapsed="false">
      <c r="A645" s="2"/>
      <c r="B645" s="2"/>
      <c r="C645" s="2"/>
      <c r="D645" s="2"/>
      <c r="E645" s="2"/>
      <c r="F645" s="2"/>
      <c r="G645" s="2"/>
    </row>
    <row r="646" customFormat="false" ht="15.75" hidden="false" customHeight="true" outlineLevel="0" collapsed="false">
      <c r="A646" s="2"/>
      <c r="B646" s="2"/>
      <c r="C646" s="2"/>
      <c r="D646" s="2"/>
      <c r="E646" s="2"/>
      <c r="F646" s="2"/>
      <c r="G646" s="2"/>
    </row>
    <row r="647" customFormat="false" ht="15.75" hidden="false" customHeight="true" outlineLevel="0" collapsed="false">
      <c r="A647" s="2"/>
      <c r="B647" s="2"/>
      <c r="C647" s="2"/>
      <c r="D647" s="2"/>
      <c r="E647" s="2"/>
      <c r="F647" s="2"/>
      <c r="G647" s="2"/>
    </row>
    <row r="648" customFormat="false" ht="15.75" hidden="false" customHeight="true" outlineLevel="0" collapsed="false">
      <c r="A648" s="2"/>
      <c r="B648" s="2"/>
      <c r="C648" s="2"/>
      <c r="D648" s="2"/>
      <c r="E648" s="2"/>
      <c r="F648" s="2"/>
      <c r="G648" s="2"/>
    </row>
    <row r="649" customFormat="false" ht="15.75" hidden="false" customHeight="true" outlineLevel="0" collapsed="false">
      <c r="A649" s="2"/>
      <c r="B649" s="2"/>
      <c r="C649" s="2"/>
      <c r="D649" s="2"/>
      <c r="E649" s="2"/>
      <c r="F649" s="2"/>
      <c r="G649" s="2"/>
    </row>
    <row r="650" customFormat="false" ht="15.75" hidden="false" customHeight="true" outlineLevel="0" collapsed="false">
      <c r="A650" s="2"/>
      <c r="B650" s="2"/>
      <c r="C650" s="2"/>
      <c r="D650" s="2"/>
      <c r="E650" s="2"/>
      <c r="F650" s="2"/>
      <c r="G650" s="2"/>
    </row>
    <row r="651" customFormat="false" ht="15.75" hidden="false" customHeight="true" outlineLevel="0" collapsed="false">
      <c r="A651" s="2"/>
      <c r="B651" s="2"/>
      <c r="C651" s="2"/>
      <c r="D651" s="2"/>
      <c r="E651" s="2"/>
      <c r="F651" s="2"/>
      <c r="G651" s="2"/>
    </row>
    <row r="652" customFormat="false" ht="15.75" hidden="false" customHeight="true" outlineLevel="0" collapsed="false">
      <c r="A652" s="2"/>
      <c r="B652" s="2"/>
      <c r="C652" s="2"/>
      <c r="D652" s="2"/>
      <c r="E652" s="2"/>
      <c r="F652" s="2"/>
      <c r="G652" s="2"/>
    </row>
    <row r="653" customFormat="false" ht="15.75" hidden="false" customHeight="true" outlineLevel="0" collapsed="false">
      <c r="A653" s="2"/>
      <c r="B653" s="2"/>
      <c r="C653" s="2"/>
      <c r="D653" s="2"/>
      <c r="E653" s="2"/>
      <c r="F653" s="2"/>
      <c r="G653" s="2"/>
    </row>
    <row r="654" customFormat="false" ht="15.75" hidden="false" customHeight="true" outlineLevel="0" collapsed="false">
      <c r="A654" s="2"/>
      <c r="B654" s="2"/>
      <c r="C654" s="2"/>
      <c r="D654" s="2"/>
      <c r="E654" s="2"/>
      <c r="F654" s="2"/>
      <c r="G654" s="2"/>
    </row>
    <row r="655" customFormat="false" ht="15.75" hidden="false" customHeight="true" outlineLevel="0" collapsed="false">
      <c r="A655" s="2"/>
      <c r="B655" s="2"/>
      <c r="C655" s="2"/>
      <c r="D655" s="2"/>
      <c r="E655" s="2"/>
      <c r="F655" s="2"/>
      <c r="G655" s="2"/>
    </row>
    <row r="656" customFormat="false" ht="15.75" hidden="false" customHeight="true" outlineLevel="0" collapsed="false">
      <c r="A656" s="2"/>
      <c r="B656" s="2"/>
      <c r="C656" s="2"/>
      <c r="D656" s="2"/>
      <c r="E656" s="2"/>
      <c r="F656" s="2"/>
      <c r="G656" s="2"/>
    </row>
    <row r="657" customFormat="false" ht="15.75" hidden="false" customHeight="true" outlineLevel="0" collapsed="false">
      <c r="A657" s="2"/>
      <c r="B657" s="2"/>
      <c r="C657" s="2"/>
      <c r="D657" s="2"/>
      <c r="E657" s="2"/>
      <c r="F657" s="2"/>
      <c r="G657" s="2"/>
    </row>
    <row r="658" customFormat="false" ht="15.75" hidden="false" customHeight="true" outlineLevel="0" collapsed="false">
      <c r="A658" s="2"/>
      <c r="B658" s="2"/>
      <c r="C658" s="2"/>
      <c r="D658" s="2"/>
      <c r="E658" s="2"/>
      <c r="F658" s="2"/>
      <c r="G658" s="2"/>
    </row>
    <row r="659" customFormat="false" ht="15.75" hidden="false" customHeight="true" outlineLevel="0" collapsed="false">
      <c r="A659" s="2"/>
      <c r="B659" s="2"/>
      <c r="C659" s="2"/>
      <c r="D659" s="2"/>
      <c r="E659" s="2"/>
      <c r="F659" s="2"/>
      <c r="G659" s="2"/>
    </row>
    <row r="660" customFormat="false" ht="15.75" hidden="false" customHeight="true" outlineLevel="0" collapsed="false">
      <c r="A660" s="2"/>
      <c r="B660" s="2"/>
      <c r="C660" s="2"/>
      <c r="D660" s="2"/>
      <c r="E660" s="2"/>
      <c r="F660" s="2"/>
      <c r="G660" s="2"/>
    </row>
    <row r="661" customFormat="false" ht="15.75" hidden="false" customHeight="true" outlineLevel="0" collapsed="false">
      <c r="A661" s="2"/>
      <c r="B661" s="2"/>
      <c r="C661" s="2"/>
      <c r="D661" s="2"/>
      <c r="E661" s="2"/>
      <c r="F661" s="2"/>
      <c r="G661" s="2"/>
    </row>
    <row r="662" customFormat="false" ht="15.75" hidden="false" customHeight="true" outlineLevel="0" collapsed="false">
      <c r="A662" s="2"/>
      <c r="B662" s="2"/>
      <c r="C662" s="2"/>
      <c r="D662" s="2"/>
      <c r="E662" s="2"/>
      <c r="F662" s="2"/>
      <c r="G662" s="2"/>
    </row>
    <row r="663" customFormat="false" ht="15.75" hidden="false" customHeight="true" outlineLevel="0" collapsed="false">
      <c r="A663" s="2"/>
      <c r="B663" s="2"/>
      <c r="C663" s="2"/>
      <c r="D663" s="2"/>
      <c r="E663" s="2"/>
      <c r="F663" s="2"/>
      <c r="G663" s="2"/>
    </row>
    <row r="664" customFormat="false" ht="15.75" hidden="false" customHeight="true" outlineLevel="0" collapsed="false">
      <c r="A664" s="2"/>
      <c r="B664" s="2"/>
      <c r="C664" s="2"/>
      <c r="D664" s="2"/>
      <c r="E664" s="2"/>
      <c r="F664" s="2"/>
      <c r="G664" s="2"/>
    </row>
    <row r="665" customFormat="false" ht="15.75" hidden="false" customHeight="true" outlineLevel="0" collapsed="false">
      <c r="A665" s="2"/>
      <c r="B665" s="2"/>
      <c r="C665" s="2"/>
      <c r="D665" s="2"/>
      <c r="E665" s="2"/>
      <c r="F665" s="2"/>
      <c r="G665" s="2"/>
    </row>
    <row r="666" customFormat="false" ht="15.75" hidden="false" customHeight="true" outlineLevel="0" collapsed="false">
      <c r="A666" s="2"/>
      <c r="B666" s="2"/>
      <c r="C666" s="2"/>
      <c r="D666" s="2"/>
      <c r="E666" s="2"/>
      <c r="F666" s="2"/>
      <c r="G666" s="2"/>
    </row>
    <row r="667" customFormat="false" ht="15.75" hidden="false" customHeight="true" outlineLevel="0" collapsed="false">
      <c r="A667" s="2"/>
      <c r="B667" s="2"/>
      <c r="C667" s="2"/>
      <c r="D667" s="2"/>
      <c r="E667" s="2"/>
      <c r="F667" s="2"/>
      <c r="G667" s="2"/>
    </row>
    <row r="668" customFormat="false" ht="15.75" hidden="false" customHeight="true" outlineLevel="0" collapsed="false">
      <c r="A668" s="2"/>
      <c r="B668" s="2"/>
      <c r="C668" s="2"/>
      <c r="D668" s="2"/>
      <c r="E668" s="2"/>
      <c r="F668" s="2"/>
      <c r="G668" s="2"/>
    </row>
    <row r="669" customFormat="false" ht="15.75" hidden="false" customHeight="true" outlineLevel="0" collapsed="false">
      <c r="A669" s="2"/>
      <c r="B669" s="2"/>
      <c r="C669" s="2"/>
      <c r="D669" s="2"/>
      <c r="E669" s="2"/>
      <c r="F669" s="2"/>
      <c r="G669" s="2"/>
    </row>
    <row r="670" customFormat="false" ht="15.75" hidden="false" customHeight="true" outlineLevel="0" collapsed="false">
      <c r="A670" s="2"/>
      <c r="B670" s="2"/>
      <c r="C670" s="2"/>
      <c r="D670" s="2"/>
      <c r="E670" s="2"/>
      <c r="F670" s="2"/>
      <c r="G670" s="2"/>
    </row>
    <row r="671" customFormat="false" ht="15.75" hidden="false" customHeight="true" outlineLevel="0" collapsed="false">
      <c r="A671" s="2"/>
      <c r="B671" s="2"/>
      <c r="C671" s="2"/>
      <c r="D671" s="2"/>
      <c r="E671" s="2"/>
      <c r="F671" s="2"/>
      <c r="G671" s="2"/>
    </row>
    <row r="672" customFormat="false" ht="15.75" hidden="false" customHeight="true" outlineLevel="0" collapsed="false">
      <c r="A672" s="2"/>
      <c r="B672" s="2"/>
      <c r="C672" s="2"/>
      <c r="D672" s="2"/>
      <c r="E672" s="2"/>
      <c r="F672" s="2"/>
      <c r="G672" s="2"/>
    </row>
    <row r="673" customFormat="false" ht="15.75" hidden="false" customHeight="true" outlineLevel="0" collapsed="false">
      <c r="A673" s="2"/>
      <c r="B673" s="2"/>
      <c r="C673" s="2"/>
      <c r="D673" s="2"/>
      <c r="E673" s="2"/>
      <c r="F673" s="2"/>
      <c r="G673" s="2"/>
    </row>
    <row r="674" customFormat="false" ht="15.75" hidden="false" customHeight="true" outlineLevel="0" collapsed="false">
      <c r="A674" s="2"/>
      <c r="B674" s="2"/>
      <c r="C674" s="2"/>
      <c r="D674" s="2"/>
      <c r="E674" s="2"/>
      <c r="F674" s="2"/>
      <c r="G674" s="2"/>
    </row>
    <row r="675" customFormat="false" ht="15.75" hidden="false" customHeight="true" outlineLevel="0" collapsed="false">
      <c r="A675" s="2"/>
      <c r="B675" s="2"/>
      <c r="C675" s="2"/>
      <c r="D675" s="2"/>
      <c r="E675" s="2"/>
      <c r="F675" s="2"/>
      <c r="G675" s="2"/>
    </row>
    <row r="676" customFormat="false" ht="15.75" hidden="false" customHeight="true" outlineLevel="0" collapsed="false">
      <c r="A676" s="2"/>
      <c r="B676" s="2"/>
      <c r="C676" s="2"/>
      <c r="D676" s="2"/>
      <c r="E676" s="2"/>
      <c r="F676" s="2"/>
      <c r="G676" s="2"/>
    </row>
    <row r="677" customFormat="false" ht="15.75" hidden="false" customHeight="true" outlineLevel="0" collapsed="false">
      <c r="A677" s="2"/>
      <c r="B677" s="2"/>
      <c r="C677" s="2"/>
      <c r="D677" s="2"/>
      <c r="E677" s="2"/>
      <c r="F677" s="2"/>
      <c r="G677" s="2"/>
    </row>
    <row r="678" customFormat="false" ht="15.75" hidden="false" customHeight="true" outlineLevel="0" collapsed="false">
      <c r="A678" s="2"/>
      <c r="B678" s="2"/>
      <c r="C678" s="2"/>
      <c r="D678" s="2"/>
      <c r="E678" s="2"/>
      <c r="F678" s="2"/>
      <c r="G678" s="2"/>
    </row>
    <row r="679" customFormat="false" ht="15.75" hidden="false" customHeight="true" outlineLevel="0" collapsed="false">
      <c r="A679" s="2"/>
      <c r="B679" s="2"/>
      <c r="C679" s="2"/>
      <c r="D679" s="2"/>
      <c r="E679" s="2"/>
      <c r="F679" s="2"/>
      <c r="G679" s="2"/>
    </row>
    <row r="680" customFormat="false" ht="15.75" hidden="false" customHeight="true" outlineLevel="0" collapsed="false">
      <c r="A680" s="2"/>
      <c r="B680" s="2"/>
      <c r="C680" s="2"/>
      <c r="D680" s="2"/>
      <c r="E680" s="2"/>
      <c r="F680" s="2"/>
      <c r="G680" s="2"/>
    </row>
    <row r="681" customFormat="false" ht="15.75" hidden="false" customHeight="true" outlineLevel="0" collapsed="false">
      <c r="A681" s="2"/>
      <c r="B681" s="2"/>
      <c r="C681" s="2"/>
      <c r="D681" s="2"/>
      <c r="E681" s="2"/>
      <c r="F681" s="2"/>
      <c r="G681" s="2"/>
    </row>
    <row r="682" customFormat="false" ht="15.75" hidden="false" customHeight="true" outlineLevel="0" collapsed="false">
      <c r="A682" s="2"/>
      <c r="B682" s="2"/>
      <c r="C682" s="2"/>
      <c r="D682" s="2"/>
      <c r="E682" s="2"/>
      <c r="F682" s="2"/>
      <c r="G682" s="2"/>
    </row>
    <row r="683" customFormat="false" ht="15.75" hidden="false" customHeight="true" outlineLevel="0" collapsed="false">
      <c r="A683" s="2"/>
      <c r="B683" s="2"/>
      <c r="C683" s="2"/>
      <c r="D683" s="2"/>
      <c r="E683" s="2"/>
      <c r="F683" s="2"/>
      <c r="G683" s="2"/>
    </row>
    <row r="684" customFormat="false" ht="15.75" hidden="false" customHeight="true" outlineLevel="0" collapsed="false">
      <c r="A684" s="2"/>
      <c r="B684" s="2"/>
      <c r="C684" s="2"/>
      <c r="D684" s="2"/>
      <c r="E684" s="2"/>
      <c r="F684" s="2"/>
      <c r="G684" s="2"/>
    </row>
    <row r="685" customFormat="false" ht="15.75" hidden="false" customHeight="true" outlineLevel="0" collapsed="false">
      <c r="A685" s="2"/>
      <c r="B685" s="2"/>
      <c r="C685" s="2"/>
      <c r="D685" s="2"/>
      <c r="E685" s="2"/>
      <c r="F685" s="2"/>
      <c r="G685" s="2"/>
    </row>
    <row r="686" customFormat="false" ht="15.75" hidden="false" customHeight="true" outlineLevel="0" collapsed="false">
      <c r="A686" s="2"/>
      <c r="B686" s="2"/>
      <c r="C686" s="2"/>
      <c r="D686" s="2"/>
      <c r="E686" s="2"/>
      <c r="F686" s="2"/>
      <c r="G686" s="2"/>
    </row>
    <row r="687" customFormat="false" ht="15.75" hidden="false" customHeight="true" outlineLevel="0" collapsed="false">
      <c r="A687" s="2"/>
      <c r="B687" s="2"/>
      <c r="C687" s="2"/>
      <c r="D687" s="2"/>
      <c r="E687" s="2"/>
      <c r="F687" s="2"/>
      <c r="G687" s="2"/>
    </row>
    <row r="688" customFormat="false" ht="15.75" hidden="false" customHeight="true" outlineLevel="0" collapsed="false">
      <c r="A688" s="2"/>
      <c r="B688" s="2"/>
      <c r="C688" s="2"/>
      <c r="D688" s="2"/>
      <c r="E688" s="2"/>
      <c r="F688" s="2"/>
      <c r="G688" s="2"/>
    </row>
    <row r="689" customFormat="false" ht="15.75" hidden="false" customHeight="true" outlineLevel="0" collapsed="false">
      <c r="A689" s="2"/>
      <c r="B689" s="2"/>
      <c r="C689" s="2"/>
      <c r="D689" s="2"/>
      <c r="E689" s="2"/>
      <c r="F689" s="2"/>
      <c r="G689" s="2"/>
    </row>
    <row r="690" customFormat="false" ht="15.75" hidden="false" customHeight="true" outlineLevel="0" collapsed="false">
      <c r="A690" s="2"/>
      <c r="B690" s="2"/>
      <c r="C690" s="2"/>
      <c r="D690" s="2"/>
      <c r="E690" s="2"/>
      <c r="F690" s="2"/>
      <c r="G690" s="2"/>
    </row>
    <row r="691" customFormat="false" ht="15.75" hidden="false" customHeight="true" outlineLevel="0" collapsed="false">
      <c r="A691" s="2"/>
      <c r="B691" s="2"/>
      <c r="C691" s="2"/>
      <c r="D691" s="2"/>
      <c r="E691" s="2"/>
      <c r="F691" s="2"/>
      <c r="G691" s="2"/>
    </row>
    <row r="692" customFormat="false" ht="15.75" hidden="false" customHeight="true" outlineLevel="0" collapsed="false">
      <c r="A692" s="2"/>
      <c r="B692" s="2"/>
      <c r="C692" s="2"/>
      <c r="D692" s="2"/>
      <c r="E692" s="2"/>
      <c r="F692" s="2"/>
      <c r="G692" s="2"/>
    </row>
    <row r="693" customFormat="false" ht="15.75" hidden="false" customHeight="true" outlineLevel="0" collapsed="false">
      <c r="A693" s="2"/>
      <c r="B693" s="2"/>
      <c r="C693" s="2"/>
      <c r="D693" s="2"/>
      <c r="E693" s="2"/>
      <c r="F693" s="2"/>
      <c r="G693" s="2"/>
    </row>
    <row r="694" customFormat="false" ht="15.75" hidden="false" customHeight="true" outlineLevel="0" collapsed="false">
      <c r="A694" s="2"/>
      <c r="B694" s="2"/>
      <c r="C694" s="2"/>
      <c r="D694" s="2"/>
      <c r="E694" s="2"/>
      <c r="F694" s="2"/>
      <c r="G694" s="2"/>
    </row>
    <row r="695" customFormat="false" ht="15.75" hidden="false" customHeight="true" outlineLevel="0" collapsed="false">
      <c r="A695" s="2"/>
      <c r="B695" s="2"/>
      <c r="C695" s="2"/>
      <c r="D695" s="2"/>
      <c r="E695" s="2"/>
      <c r="F695" s="2"/>
      <c r="G695" s="2"/>
    </row>
    <row r="696" customFormat="false" ht="15.75" hidden="false" customHeight="true" outlineLevel="0" collapsed="false">
      <c r="A696" s="2"/>
      <c r="B696" s="2"/>
      <c r="C696" s="2"/>
      <c r="D696" s="2"/>
      <c r="E696" s="2"/>
      <c r="F696" s="2"/>
      <c r="G696" s="2"/>
    </row>
    <row r="697" customFormat="false" ht="15.75" hidden="false" customHeight="true" outlineLevel="0" collapsed="false">
      <c r="A697" s="2"/>
      <c r="B697" s="2"/>
      <c r="C697" s="2"/>
      <c r="D697" s="2"/>
      <c r="E697" s="2"/>
      <c r="F697" s="2"/>
      <c r="G697" s="2"/>
    </row>
    <row r="698" customFormat="false" ht="15.75" hidden="false" customHeight="true" outlineLevel="0" collapsed="false">
      <c r="A698" s="2"/>
      <c r="B698" s="2"/>
      <c r="C698" s="2"/>
      <c r="D698" s="2"/>
      <c r="E698" s="2"/>
      <c r="F698" s="2"/>
      <c r="G698" s="2"/>
    </row>
    <row r="699" customFormat="false" ht="15.75" hidden="false" customHeight="true" outlineLevel="0" collapsed="false">
      <c r="A699" s="2"/>
      <c r="B699" s="2"/>
      <c r="C699" s="2"/>
      <c r="D699" s="2"/>
      <c r="E699" s="2"/>
      <c r="F699" s="2"/>
      <c r="G699" s="2"/>
    </row>
    <row r="700" customFormat="false" ht="15.75" hidden="false" customHeight="true" outlineLevel="0" collapsed="false">
      <c r="A700" s="2"/>
      <c r="B700" s="2"/>
      <c r="C700" s="2"/>
      <c r="D700" s="2"/>
      <c r="E700" s="2"/>
      <c r="F700" s="2"/>
      <c r="G700" s="2"/>
    </row>
    <row r="701" customFormat="false" ht="15.75" hidden="false" customHeight="true" outlineLevel="0" collapsed="false">
      <c r="A701" s="2"/>
      <c r="B701" s="2"/>
      <c r="C701" s="2"/>
      <c r="D701" s="2"/>
      <c r="E701" s="2"/>
      <c r="F701" s="2"/>
      <c r="G701" s="2"/>
    </row>
    <row r="702" customFormat="false" ht="15.75" hidden="false" customHeight="true" outlineLevel="0" collapsed="false">
      <c r="A702" s="2"/>
      <c r="B702" s="2"/>
      <c r="C702" s="2"/>
      <c r="D702" s="2"/>
      <c r="E702" s="2"/>
      <c r="F702" s="2"/>
      <c r="G702" s="2"/>
    </row>
    <row r="703" customFormat="false" ht="15.75" hidden="false" customHeight="true" outlineLevel="0" collapsed="false">
      <c r="A703" s="2"/>
      <c r="B703" s="2"/>
      <c r="C703" s="2"/>
      <c r="D703" s="2"/>
      <c r="E703" s="2"/>
      <c r="F703" s="2"/>
      <c r="G703" s="2"/>
    </row>
    <row r="704" customFormat="false" ht="15.75" hidden="false" customHeight="true" outlineLevel="0" collapsed="false">
      <c r="A704" s="2"/>
      <c r="B704" s="2"/>
      <c r="C704" s="2"/>
      <c r="D704" s="2"/>
      <c r="E704" s="2"/>
      <c r="F704" s="2"/>
      <c r="G704" s="2"/>
    </row>
    <row r="705" customFormat="false" ht="15.75" hidden="false" customHeight="true" outlineLevel="0" collapsed="false">
      <c r="A705" s="2"/>
      <c r="B705" s="2"/>
      <c r="C705" s="2"/>
      <c r="D705" s="2"/>
      <c r="E705" s="2"/>
      <c r="F705" s="2"/>
      <c r="G705" s="2"/>
    </row>
    <row r="706" customFormat="false" ht="15.75" hidden="false" customHeight="true" outlineLevel="0" collapsed="false">
      <c r="A706" s="2"/>
      <c r="B706" s="2"/>
      <c r="C706" s="2"/>
      <c r="D706" s="2"/>
      <c r="E706" s="2"/>
      <c r="F706" s="2"/>
      <c r="G706" s="2"/>
    </row>
    <row r="707" customFormat="false" ht="15.75" hidden="false" customHeight="true" outlineLevel="0" collapsed="false">
      <c r="A707" s="2"/>
      <c r="B707" s="2"/>
      <c r="C707" s="2"/>
      <c r="D707" s="2"/>
      <c r="E707" s="2"/>
      <c r="F707" s="2"/>
      <c r="G707" s="2"/>
    </row>
    <row r="708" customFormat="false" ht="15.75" hidden="false" customHeight="true" outlineLevel="0" collapsed="false">
      <c r="A708" s="2"/>
      <c r="B708" s="2"/>
      <c r="C708" s="2"/>
      <c r="D708" s="2"/>
      <c r="E708" s="2"/>
      <c r="F708" s="2"/>
      <c r="G708" s="2"/>
    </row>
    <row r="709" customFormat="false" ht="15.75" hidden="false" customHeight="true" outlineLevel="0" collapsed="false">
      <c r="A709" s="2"/>
      <c r="B709" s="2"/>
      <c r="C709" s="2"/>
      <c r="D709" s="2"/>
      <c r="E709" s="2"/>
      <c r="F709" s="2"/>
      <c r="G709" s="2"/>
    </row>
    <row r="710" customFormat="false" ht="15.75" hidden="false" customHeight="true" outlineLevel="0" collapsed="false">
      <c r="A710" s="2"/>
      <c r="B710" s="2"/>
      <c r="C710" s="2"/>
      <c r="D710" s="2"/>
      <c r="E710" s="2"/>
      <c r="F710" s="2"/>
      <c r="G710" s="2"/>
    </row>
    <row r="711" customFormat="false" ht="15.75" hidden="false" customHeight="true" outlineLevel="0" collapsed="false">
      <c r="A711" s="2"/>
      <c r="B711" s="2"/>
      <c r="C711" s="2"/>
      <c r="D711" s="2"/>
      <c r="E711" s="2"/>
      <c r="F711" s="2"/>
      <c r="G711" s="2"/>
    </row>
    <row r="712" customFormat="false" ht="15.75" hidden="false" customHeight="true" outlineLevel="0" collapsed="false">
      <c r="A712" s="2"/>
      <c r="B712" s="2"/>
      <c r="C712" s="2"/>
      <c r="D712" s="2"/>
      <c r="E712" s="2"/>
      <c r="F712" s="2"/>
      <c r="G712" s="2"/>
    </row>
    <row r="713" customFormat="false" ht="15.75" hidden="false" customHeight="true" outlineLevel="0" collapsed="false">
      <c r="A713" s="2"/>
      <c r="B713" s="2"/>
      <c r="C713" s="2"/>
      <c r="D713" s="2"/>
      <c r="E713" s="2"/>
      <c r="F713" s="2"/>
      <c r="G713" s="2"/>
    </row>
    <row r="714" customFormat="false" ht="15.75" hidden="false" customHeight="true" outlineLevel="0" collapsed="false">
      <c r="A714" s="2"/>
      <c r="B714" s="2"/>
      <c r="C714" s="2"/>
      <c r="D714" s="2"/>
      <c r="E714" s="2"/>
      <c r="F714" s="2"/>
      <c r="G714" s="2"/>
    </row>
    <row r="715" customFormat="false" ht="15.75" hidden="false" customHeight="true" outlineLevel="0" collapsed="false">
      <c r="A715" s="2"/>
      <c r="B715" s="2"/>
      <c r="C715" s="2"/>
      <c r="D715" s="2"/>
      <c r="E715" s="2"/>
      <c r="F715" s="2"/>
      <c r="G715" s="2"/>
    </row>
    <row r="716" customFormat="false" ht="15.75" hidden="false" customHeight="true" outlineLevel="0" collapsed="false">
      <c r="A716" s="2"/>
      <c r="B716" s="2"/>
      <c r="C716" s="2"/>
      <c r="D716" s="2"/>
      <c r="E716" s="2"/>
      <c r="F716" s="2"/>
      <c r="G716" s="2"/>
    </row>
    <row r="717" customFormat="false" ht="15.75" hidden="false" customHeight="true" outlineLevel="0" collapsed="false">
      <c r="A717" s="2"/>
      <c r="B717" s="2"/>
      <c r="C717" s="2"/>
      <c r="D717" s="2"/>
      <c r="E717" s="2"/>
      <c r="F717" s="2"/>
      <c r="G717" s="2"/>
    </row>
    <row r="718" customFormat="false" ht="15.75" hidden="false" customHeight="true" outlineLevel="0" collapsed="false">
      <c r="A718" s="2"/>
      <c r="B718" s="2"/>
      <c r="C718" s="2"/>
      <c r="D718" s="2"/>
      <c r="E718" s="2"/>
      <c r="F718" s="2"/>
      <c r="G718" s="2"/>
    </row>
    <row r="719" customFormat="false" ht="15.75" hidden="false" customHeight="true" outlineLevel="0" collapsed="false">
      <c r="A719" s="2"/>
      <c r="B719" s="2"/>
      <c r="C719" s="2"/>
      <c r="D719" s="2"/>
      <c r="E719" s="2"/>
      <c r="F719" s="2"/>
      <c r="G719" s="2"/>
    </row>
    <row r="720" customFormat="false" ht="15.75" hidden="false" customHeight="true" outlineLevel="0" collapsed="false">
      <c r="A720" s="2"/>
      <c r="B720" s="2"/>
      <c r="C720" s="2"/>
      <c r="D720" s="2"/>
      <c r="E720" s="2"/>
      <c r="F720" s="2"/>
      <c r="G720" s="2"/>
    </row>
    <row r="721" customFormat="false" ht="15.75" hidden="false" customHeight="true" outlineLevel="0" collapsed="false">
      <c r="A721" s="2"/>
      <c r="B721" s="2"/>
      <c r="C721" s="2"/>
      <c r="D721" s="2"/>
      <c r="E721" s="2"/>
      <c r="F721" s="2"/>
      <c r="G721" s="2"/>
    </row>
    <row r="722" customFormat="false" ht="15.75" hidden="false" customHeight="true" outlineLevel="0" collapsed="false">
      <c r="A722" s="2"/>
      <c r="B722" s="2"/>
      <c r="C722" s="2"/>
      <c r="D722" s="2"/>
      <c r="E722" s="2"/>
      <c r="F722" s="2"/>
      <c r="G722" s="2"/>
    </row>
    <row r="723" customFormat="false" ht="15.75" hidden="false" customHeight="true" outlineLevel="0" collapsed="false">
      <c r="A723" s="2"/>
      <c r="B723" s="2"/>
      <c r="C723" s="2"/>
      <c r="D723" s="2"/>
      <c r="E723" s="2"/>
      <c r="F723" s="2"/>
      <c r="G723" s="2"/>
    </row>
    <row r="724" customFormat="false" ht="15.75" hidden="false" customHeight="true" outlineLevel="0" collapsed="false">
      <c r="A724" s="2"/>
      <c r="B724" s="2"/>
      <c r="C724" s="2"/>
      <c r="D724" s="2"/>
      <c r="E724" s="2"/>
      <c r="F724" s="2"/>
      <c r="G724" s="2"/>
    </row>
    <row r="725" customFormat="false" ht="15.75" hidden="false" customHeight="true" outlineLevel="0" collapsed="false">
      <c r="A725" s="2"/>
      <c r="B725" s="2"/>
      <c r="C725" s="2"/>
      <c r="D725" s="2"/>
      <c r="E725" s="2"/>
      <c r="F725" s="2"/>
      <c r="G725" s="2"/>
    </row>
    <row r="726" customFormat="false" ht="15.75" hidden="false" customHeight="true" outlineLevel="0" collapsed="false">
      <c r="A726" s="2"/>
      <c r="B726" s="2"/>
      <c r="C726" s="2"/>
      <c r="D726" s="2"/>
      <c r="E726" s="2"/>
      <c r="F726" s="2"/>
      <c r="G726" s="2"/>
    </row>
    <row r="727" customFormat="false" ht="15.75" hidden="false" customHeight="true" outlineLevel="0" collapsed="false">
      <c r="A727" s="2"/>
      <c r="B727" s="2"/>
      <c r="C727" s="2"/>
      <c r="D727" s="2"/>
      <c r="E727" s="2"/>
      <c r="F727" s="2"/>
      <c r="G727" s="2"/>
    </row>
    <row r="728" customFormat="false" ht="15.75" hidden="false" customHeight="true" outlineLevel="0" collapsed="false">
      <c r="A728" s="2"/>
      <c r="B728" s="2"/>
      <c r="C728" s="2"/>
      <c r="D728" s="2"/>
      <c r="E728" s="2"/>
      <c r="F728" s="2"/>
      <c r="G728" s="2"/>
    </row>
    <row r="729" customFormat="false" ht="15.75" hidden="false" customHeight="true" outlineLevel="0" collapsed="false">
      <c r="A729" s="2"/>
      <c r="B729" s="2"/>
      <c r="C729" s="2"/>
      <c r="D729" s="2"/>
      <c r="E729" s="2"/>
      <c r="F729" s="2"/>
      <c r="G729" s="2"/>
    </row>
    <row r="730" customFormat="false" ht="15.75" hidden="false" customHeight="true" outlineLevel="0" collapsed="false">
      <c r="A730" s="2"/>
      <c r="B730" s="2"/>
      <c r="C730" s="2"/>
      <c r="D730" s="2"/>
      <c r="E730" s="2"/>
      <c r="F730" s="2"/>
      <c r="G730" s="2"/>
    </row>
    <row r="731" customFormat="false" ht="15.75" hidden="false" customHeight="true" outlineLevel="0" collapsed="false">
      <c r="A731" s="2"/>
      <c r="B731" s="2"/>
      <c r="C731" s="2"/>
      <c r="D731" s="2"/>
      <c r="E731" s="2"/>
      <c r="F731" s="2"/>
      <c r="G731" s="2"/>
    </row>
    <row r="732" customFormat="false" ht="15.75" hidden="false" customHeight="true" outlineLevel="0" collapsed="false">
      <c r="A732" s="2"/>
      <c r="B732" s="2"/>
      <c r="C732" s="2"/>
      <c r="D732" s="2"/>
      <c r="E732" s="2"/>
      <c r="F732" s="2"/>
      <c r="G732" s="2"/>
    </row>
    <row r="733" customFormat="false" ht="15.75" hidden="false" customHeight="true" outlineLevel="0" collapsed="false">
      <c r="A733" s="2"/>
      <c r="B733" s="2"/>
      <c r="C733" s="2"/>
      <c r="D733" s="2"/>
      <c r="E733" s="2"/>
      <c r="F733" s="2"/>
      <c r="G733" s="2"/>
    </row>
    <row r="734" customFormat="false" ht="15.75" hidden="false" customHeight="true" outlineLevel="0" collapsed="false">
      <c r="A734" s="2"/>
      <c r="B734" s="2"/>
      <c r="C734" s="2"/>
      <c r="D734" s="2"/>
      <c r="E734" s="2"/>
      <c r="F734" s="2"/>
      <c r="G734" s="2"/>
    </row>
    <row r="735" customFormat="false" ht="15.75" hidden="false" customHeight="true" outlineLevel="0" collapsed="false">
      <c r="A735" s="2"/>
      <c r="B735" s="2"/>
      <c r="C735" s="2"/>
      <c r="D735" s="2"/>
      <c r="E735" s="2"/>
      <c r="F735" s="2"/>
      <c r="G735" s="2"/>
    </row>
    <row r="736" customFormat="false" ht="15.75" hidden="false" customHeight="true" outlineLevel="0" collapsed="false">
      <c r="A736" s="2"/>
      <c r="B736" s="2"/>
      <c r="C736" s="2"/>
      <c r="D736" s="2"/>
      <c r="E736" s="2"/>
      <c r="F736" s="2"/>
      <c r="G736" s="2"/>
    </row>
    <row r="737" customFormat="false" ht="15.75" hidden="false" customHeight="true" outlineLevel="0" collapsed="false">
      <c r="A737" s="2"/>
      <c r="B737" s="2"/>
      <c r="C737" s="2"/>
      <c r="D737" s="2"/>
      <c r="E737" s="2"/>
      <c r="F737" s="2"/>
      <c r="G737" s="2"/>
    </row>
    <row r="738" customFormat="false" ht="15.75" hidden="false" customHeight="true" outlineLevel="0" collapsed="false">
      <c r="A738" s="2"/>
      <c r="B738" s="2"/>
      <c r="C738" s="2"/>
      <c r="D738" s="2"/>
      <c r="E738" s="2"/>
      <c r="F738" s="2"/>
      <c r="G738" s="2"/>
    </row>
    <row r="739" customFormat="false" ht="15.75" hidden="false" customHeight="true" outlineLevel="0" collapsed="false">
      <c r="A739" s="2"/>
      <c r="B739" s="2"/>
      <c r="C739" s="2"/>
      <c r="D739" s="2"/>
      <c r="E739" s="2"/>
      <c r="F739" s="2"/>
      <c r="G739" s="2"/>
    </row>
    <row r="740" customFormat="false" ht="15.75" hidden="false" customHeight="true" outlineLevel="0" collapsed="false">
      <c r="A740" s="2"/>
      <c r="B740" s="2"/>
      <c r="C740" s="2"/>
      <c r="D740" s="2"/>
      <c r="E740" s="2"/>
      <c r="F740" s="2"/>
      <c r="G740" s="2"/>
    </row>
    <row r="741" customFormat="false" ht="15.75" hidden="false" customHeight="true" outlineLevel="0" collapsed="false">
      <c r="A741" s="2"/>
      <c r="B741" s="2"/>
      <c r="C741" s="2"/>
      <c r="D741" s="2"/>
      <c r="E741" s="2"/>
      <c r="F741" s="2"/>
      <c r="G741" s="2"/>
    </row>
    <row r="742" customFormat="false" ht="15.75" hidden="false" customHeight="true" outlineLevel="0" collapsed="false">
      <c r="A742" s="2"/>
      <c r="B742" s="2"/>
      <c r="C742" s="2"/>
      <c r="D742" s="2"/>
      <c r="E742" s="2"/>
      <c r="F742" s="2"/>
      <c r="G742" s="2"/>
    </row>
    <row r="743" customFormat="false" ht="15.75" hidden="false" customHeight="true" outlineLevel="0" collapsed="false">
      <c r="A743" s="2"/>
      <c r="B743" s="2"/>
      <c r="C743" s="2"/>
      <c r="D743" s="2"/>
      <c r="E743" s="2"/>
      <c r="F743" s="2"/>
      <c r="G743" s="2"/>
    </row>
    <row r="744" customFormat="false" ht="15.75" hidden="false" customHeight="true" outlineLevel="0" collapsed="false">
      <c r="A744" s="2"/>
      <c r="B744" s="2"/>
      <c r="C744" s="2"/>
      <c r="D744" s="2"/>
      <c r="E744" s="2"/>
      <c r="F744" s="2"/>
      <c r="G744" s="2"/>
    </row>
    <row r="745" customFormat="false" ht="15.75" hidden="false" customHeight="true" outlineLevel="0" collapsed="false">
      <c r="A745" s="2"/>
      <c r="B745" s="2"/>
      <c r="C745" s="2"/>
      <c r="D745" s="2"/>
      <c r="E745" s="2"/>
      <c r="F745" s="2"/>
      <c r="G745" s="2"/>
    </row>
    <row r="746" customFormat="false" ht="15.75" hidden="false" customHeight="true" outlineLevel="0" collapsed="false">
      <c r="A746" s="2"/>
      <c r="B746" s="2"/>
      <c r="C746" s="2"/>
      <c r="D746" s="2"/>
      <c r="E746" s="2"/>
      <c r="F746" s="2"/>
      <c r="G746" s="2"/>
    </row>
    <row r="747" customFormat="false" ht="15.75" hidden="false" customHeight="true" outlineLevel="0" collapsed="false">
      <c r="A747" s="2"/>
      <c r="B747" s="2"/>
      <c r="C747" s="2"/>
      <c r="D747" s="2"/>
      <c r="E747" s="2"/>
      <c r="F747" s="2"/>
      <c r="G747" s="2"/>
    </row>
    <row r="748" customFormat="false" ht="15.75" hidden="false" customHeight="true" outlineLevel="0" collapsed="false">
      <c r="A748" s="2"/>
      <c r="B748" s="2"/>
      <c r="C748" s="2"/>
      <c r="D748" s="2"/>
      <c r="E748" s="2"/>
      <c r="F748" s="2"/>
      <c r="G748" s="2"/>
    </row>
    <row r="749" customFormat="false" ht="15.75" hidden="false" customHeight="true" outlineLevel="0" collapsed="false">
      <c r="A749" s="2"/>
      <c r="B749" s="2"/>
      <c r="C749" s="2"/>
      <c r="D749" s="2"/>
      <c r="E749" s="2"/>
      <c r="F749" s="2"/>
      <c r="G749" s="2"/>
    </row>
    <row r="750" customFormat="false" ht="15.75" hidden="false" customHeight="true" outlineLevel="0" collapsed="false">
      <c r="A750" s="2"/>
      <c r="B750" s="2"/>
      <c r="C750" s="2"/>
      <c r="D750" s="2"/>
      <c r="E750" s="2"/>
      <c r="F750" s="2"/>
      <c r="G750" s="2"/>
    </row>
    <row r="751" customFormat="false" ht="15.75" hidden="false" customHeight="true" outlineLevel="0" collapsed="false">
      <c r="A751" s="2"/>
      <c r="B751" s="2"/>
      <c r="C751" s="2"/>
      <c r="D751" s="2"/>
      <c r="E751" s="2"/>
      <c r="F751" s="2"/>
      <c r="G751" s="2"/>
    </row>
    <row r="752" customFormat="false" ht="15.75" hidden="false" customHeight="true" outlineLevel="0" collapsed="false">
      <c r="A752" s="2"/>
      <c r="B752" s="2"/>
      <c r="C752" s="2"/>
      <c r="D752" s="2"/>
      <c r="E752" s="2"/>
      <c r="F752" s="2"/>
      <c r="G752" s="2"/>
    </row>
    <row r="753" customFormat="false" ht="15.75" hidden="false" customHeight="true" outlineLevel="0" collapsed="false">
      <c r="A753" s="2"/>
      <c r="B753" s="2"/>
      <c r="C753" s="2"/>
      <c r="D753" s="2"/>
      <c r="E753" s="2"/>
      <c r="F753" s="2"/>
      <c r="G753" s="2"/>
    </row>
    <row r="754" customFormat="false" ht="15.75" hidden="false" customHeight="true" outlineLevel="0" collapsed="false">
      <c r="A754" s="2"/>
      <c r="B754" s="2"/>
      <c r="C754" s="2"/>
      <c r="D754" s="2"/>
      <c r="E754" s="2"/>
      <c r="F754" s="2"/>
      <c r="G754" s="2"/>
    </row>
    <row r="755" customFormat="false" ht="15.75" hidden="false" customHeight="true" outlineLevel="0" collapsed="false">
      <c r="A755" s="2"/>
      <c r="B755" s="2"/>
      <c r="C755" s="2"/>
      <c r="D755" s="2"/>
      <c r="E755" s="2"/>
      <c r="F755" s="2"/>
      <c r="G755" s="2"/>
    </row>
    <row r="756" customFormat="false" ht="15.75" hidden="false" customHeight="true" outlineLevel="0" collapsed="false">
      <c r="A756" s="2"/>
      <c r="B756" s="2"/>
      <c r="C756" s="2"/>
      <c r="D756" s="2"/>
      <c r="E756" s="2"/>
      <c r="F756" s="2"/>
      <c r="G756" s="2"/>
    </row>
    <row r="757" customFormat="false" ht="15.75" hidden="false" customHeight="true" outlineLevel="0" collapsed="false">
      <c r="A757" s="2"/>
      <c r="B757" s="2"/>
      <c r="C757" s="2"/>
      <c r="D757" s="2"/>
      <c r="E757" s="2"/>
      <c r="F757" s="2"/>
      <c r="G757" s="2"/>
    </row>
    <row r="758" customFormat="false" ht="15.75" hidden="false" customHeight="true" outlineLevel="0" collapsed="false">
      <c r="A758" s="2"/>
      <c r="B758" s="2"/>
      <c r="C758" s="2"/>
      <c r="D758" s="2"/>
      <c r="E758" s="2"/>
      <c r="F758" s="2"/>
      <c r="G758" s="2"/>
    </row>
    <row r="759" customFormat="false" ht="15.75" hidden="false" customHeight="true" outlineLevel="0" collapsed="false">
      <c r="A759" s="2"/>
      <c r="B759" s="2"/>
      <c r="C759" s="2"/>
      <c r="D759" s="2"/>
      <c r="E759" s="2"/>
      <c r="F759" s="2"/>
      <c r="G759" s="2"/>
    </row>
    <row r="760" customFormat="false" ht="15.75" hidden="false" customHeight="true" outlineLevel="0" collapsed="false">
      <c r="A760" s="2"/>
      <c r="B760" s="2"/>
      <c r="C760" s="2"/>
      <c r="D760" s="2"/>
      <c r="E760" s="2"/>
      <c r="F760" s="2"/>
      <c r="G760" s="2"/>
    </row>
    <row r="761" customFormat="false" ht="15.75" hidden="false" customHeight="true" outlineLevel="0" collapsed="false">
      <c r="A761" s="2"/>
      <c r="B761" s="2"/>
      <c r="C761" s="2"/>
      <c r="D761" s="2"/>
      <c r="E761" s="2"/>
      <c r="F761" s="2"/>
      <c r="G761" s="2"/>
    </row>
    <row r="762" customFormat="false" ht="15.75" hidden="false" customHeight="true" outlineLevel="0" collapsed="false">
      <c r="A762" s="2"/>
      <c r="B762" s="2"/>
      <c r="C762" s="2"/>
      <c r="D762" s="2"/>
      <c r="E762" s="2"/>
      <c r="F762" s="2"/>
      <c r="G762" s="2"/>
    </row>
    <row r="763" customFormat="false" ht="15.75" hidden="false" customHeight="true" outlineLevel="0" collapsed="false">
      <c r="A763" s="2"/>
      <c r="B763" s="2"/>
      <c r="C763" s="2"/>
      <c r="D763" s="2"/>
      <c r="E763" s="2"/>
      <c r="F763" s="2"/>
      <c r="G763" s="2"/>
    </row>
    <row r="764" customFormat="false" ht="15.75" hidden="false" customHeight="true" outlineLevel="0" collapsed="false">
      <c r="A764" s="2"/>
      <c r="B764" s="2"/>
      <c r="C764" s="2"/>
      <c r="D764" s="2"/>
      <c r="E764" s="2"/>
      <c r="F764" s="2"/>
      <c r="G764" s="2"/>
    </row>
    <row r="765" customFormat="false" ht="15.75" hidden="false" customHeight="true" outlineLevel="0" collapsed="false">
      <c r="A765" s="2"/>
      <c r="B765" s="2"/>
      <c r="C765" s="2"/>
      <c r="D765" s="2"/>
      <c r="E765" s="2"/>
      <c r="F765" s="2"/>
      <c r="G765" s="2"/>
    </row>
    <row r="766" customFormat="false" ht="15.75" hidden="false" customHeight="true" outlineLevel="0" collapsed="false">
      <c r="A766" s="2"/>
      <c r="B766" s="2"/>
      <c r="C766" s="2"/>
      <c r="D766" s="2"/>
      <c r="E766" s="2"/>
      <c r="F766" s="2"/>
      <c r="G766" s="2"/>
    </row>
    <row r="767" customFormat="false" ht="15.75" hidden="false" customHeight="true" outlineLevel="0" collapsed="false">
      <c r="A767" s="2"/>
      <c r="B767" s="2"/>
      <c r="C767" s="2"/>
      <c r="D767" s="2"/>
      <c r="E767" s="2"/>
      <c r="F767" s="2"/>
      <c r="G767" s="2"/>
    </row>
    <row r="768" customFormat="false" ht="15.75" hidden="false" customHeight="true" outlineLevel="0" collapsed="false">
      <c r="A768" s="2"/>
      <c r="B768" s="2"/>
      <c r="C768" s="2"/>
      <c r="D768" s="2"/>
      <c r="E768" s="2"/>
      <c r="F768" s="2"/>
      <c r="G768" s="2"/>
    </row>
    <row r="769" customFormat="false" ht="15.75" hidden="false" customHeight="true" outlineLevel="0" collapsed="false">
      <c r="A769" s="2"/>
      <c r="B769" s="2"/>
      <c r="C769" s="2"/>
      <c r="D769" s="2"/>
      <c r="E769" s="2"/>
      <c r="F769" s="2"/>
      <c r="G769" s="2"/>
    </row>
    <row r="770" customFormat="false" ht="15.75" hidden="false" customHeight="true" outlineLevel="0" collapsed="false">
      <c r="A770" s="2"/>
      <c r="B770" s="2"/>
      <c r="C770" s="2"/>
      <c r="D770" s="2"/>
      <c r="E770" s="2"/>
      <c r="F770" s="2"/>
      <c r="G770" s="2"/>
    </row>
    <row r="771" customFormat="false" ht="15.75" hidden="false" customHeight="true" outlineLevel="0" collapsed="false">
      <c r="A771" s="2"/>
      <c r="B771" s="2"/>
      <c r="C771" s="2"/>
      <c r="D771" s="2"/>
      <c r="E771" s="2"/>
      <c r="F771" s="2"/>
      <c r="G771" s="2"/>
    </row>
    <row r="772" customFormat="false" ht="15.75" hidden="false" customHeight="true" outlineLevel="0" collapsed="false">
      <c r="A772" s="2"/>
      <c r="B772" s="2"/>
      <c r="C772" s="2"/>
      <c r="D772" s="2"/>
      <c r="E772" s="2"/>
      <c r="F772" s="2"/>
      <c r="G772" s="2"/>
    </row>
    <row r="773" customFormat="false" ht="15.75" hidden="false" customHeight="true" outlineLevel="0" collapsed="false">
      <c r="A773" s="2"/>
      <c r="B773" s="2"/>
      <c r="C773" s="2"/>
      <c r="D773" s="2"/>
      <c r="E773" s="2"/>
      <c r="F773" s="2"/>
      <c r="G773" s="2"/>
    </row>
    <row r="774" customFormat="false" ht="15.75" hidden="false" customHeight="true" outlineLevel="0" collapsed="false">
      <c r="A774" s="2"/>
      <c r="B774" s="2"/>
      <c r="C774" s="2"/>
      <c r="D774" s="2"/>
      <c r="E774" s="2"/>
      <c r="F774" s="2"/>
      <c r="G774" s="2"/>
    </row>
    <row r="775" customFormat="false" ht="15.75" hidden="false" customHeight="true" outlineLevel="0" collapsed="false">
      <c r="A775" s="2"/>
      <c r="B775" s="2"/>
      <c r="C775" s="2"/>
      <c r="D775" s="2"/>
      <c r="E775" s="2"/>
      <c r="F775" s="2"/>
      <c r="G775" s="2"/>
    </row>
    <row r="776" customFormat="false" ht="15.75" hidden="false" customHeight="true" outlineLevel="0" collapsed="false">
      <c r="A776" s="2"/>
      <c r="B776" s="2"/>
      <c r="C776" s="2"/>
      <c r="D776" s="2"/>
      <c r="E776" s="2"/>
      <c r="F776" s="2"/>
      <c r="G776" s="2"/>
    </row>
    <row r="777" customFormat="false" ht="15.75" hidden="false" customHeight="true" outlineLevel="0" collapsed="false">
      <c r="A777" s="2"/>
      <c r="B777" s="2"/>
      <c r="C777" s="2"/>
      <c r="D777" s="2"/>
      <c r="E777" s="2"/>
      <c r="F777" s="2"/>
      <c r="G777" s="2"/>
    </row>
    <row r="778" customFormat="false" ht="15.75" hidden="false" customHeight="true" outlineLevel="0" collapsed="false">
      <c r="A778" s="2"/>
      <c r="B778" s="2"/>
      <c r="C778" s="2"/>
      <c r="D778" s="2"/>
      <c r="E778" s="2"/>
      <c r="F778" s="2"/>
      <c r="G778" s="2"/>
    </row>
    <row r="779" customFormat="false" ht="15.75" hidden="false" customHeight="true" outlineLevel="0" collapsed="false">
      <c r="A779" s="2"/>
      <c r="B779" s="2"/>
      <c r="C779" s="2"/>
      <c r="D779" s="2"/>
      <c r="E779" s="2"/>
      <c r="F779" s="2"/>
      <c r="G779" s="2"/>
    </row>
    <row r="780" customFormat="false" ht="15.75" hidden="false" customHeight="true" outlineLevel="0" collapsed="false">
      <c r="A780" s="2"/>
      <c r="B780" s="2"/>
      <c r="C780" s="2"/>
      <c r="D780" s="2"/>
      <c r="E780" s="2"/>
      <c r="F780" s="2"/>
      <c r="G780" s="2"/>
    </row>
    <row r="781" customFormat="false" ht="15.75" hidden="false" customHeight="true" outlineLevel="0" collapsed="false">
      <c r="A781" s="2"/>
      <c r="B781" s="2"/>
      <c r="C781" s="2"/>
      <c r="D781" s="2"/>
      <c r="E781" s="2"/>
      <c r="F781" s="2"/>
      <c r="G781" s="2"/>
    </row>
    <row r="782" customFormat="false" ht="15.75" hidden="false" customHeight="true" outlineLevel="0" collapsed="false">
      <c r="A782" s="2"/>
      <c r="B782" s="2"/>
      <c r="C782" s="2"/>
      <c r="D782" s="2"/>
      <c r="E782" s="2"/>
      <c r="F782" s="2"/>
      <c r="G782" s="2"/>
    </row>
    <row r="783" customFormat="false" ht="15.75" hidden="false" customHeight="true" outlineLevel="0" collapsed="false">
      <c r="A783" s="2"/>
      <c r="B783" s="2"/>
      <c r="C783" s="2"/>
      <c r="D783" s="2"/>
      <c r="E783" s="2"/>
      <c r="F783" s="2"/>
      <c r="G783" s="2"/>
    </row>
    <row r="784" customFormat="false" ht="15.75" hidden="false" customHeight="true" outlineLevel="0" collapsed="false">
      <c r="A784" s="2"/>
      <c r="B784" s="2"/>
      <c r="C784" s="2"/>
      <c r="D784" s="2"/>
      <c r="E784" s="2"/>
      <c r="F784" s="2"/>
      <c r="G784" s="2"/>
    </row>
    <row r="785" customFormat="false" ht="15.75" hidden="false" customHeight="true" outlineLevel="0" collapsed="false">
      <c r="A785" s="2"/>
      <c r="B785" s="2"/>
      <c r="C785" s="2"/>
      <c r="D785" s="2"/>
      <c r="E785" s="2"/>
      <c r="F785" s="2"/>
      <c r="G785" s="2"/>
    </row>
    <row r="786" customFormat="false" ht="15.75" hidden="false" customHeight="true" outlineLevel="0" collapsed="false">
      <c r="A786" s="2"/>
      <c r="B786" s="2"/>
      <c r="C786" s="2"/>
      <c r="D786" s="2"/>
      <c r="E786" s="2"/>
      <c r="F786" s="2"/>
      <c r="G786" s="2"/>
    </row>
    <row r="787" customFormat="false" ht="15.75" hidden="false" customHeight="true" outlineLevel="0" collapsed="false">
      <c r="A787" s="2"/>
      <c r="B787" s="2"/>
      <c r="C787" s="2"/>
      <c r="D787" s="2"/>
      <c r="E787" s="2"/>
      <c r="F787" s="2"/>
      <c r="G787" s="2"/>
    </row>
    <row r="788" customFormat="false" ht="15.75" hidden="false" customHeight="true" outlineLevel="0" collapsed="false">
      <c r="A788" s="2"/>
      <c r="B788" s="2"/>
      <c r="C788" s="2"/>
      <c r="D788" s="2"/>
      <c r="E788" s="2"/>
      <c r="F788" s="2"/>
      <c r="G788" s="2"/>
    </row>
    <row r="789" customFormat="false" ht="15.75" hidden="false" customHeight="true" outlineLevel="0" collapsed="false">
      <c r="A789" s="2"/>
      <c r="B789" s="2"/>
      <c r="C789" s="2"/>
      <c r="D789" s="2"/>
      <c r="E789" s="2"/>
      <c r="F789" s="2"/>
      <c r="G789" s="2"/>
    </row>
    <row r="790" customFormat="false" ht="15.75" hidden="false" customHeight="true" outlineLevel="0" collapsed="false">
      <c r="A790" s="2"/>
      <c r="B790" s="2"/>
      <c r="C790" s="2"/>
      <c r="D790" s="2"/>
      <c r="E790" s="2"/>
      <c r="F790" s="2"/>
      <c r="G790" s="2"/>
    </row>
    <row r="791" customFormat="false" ht="15.75" hidden="false" customHeight="true" outlineLevel="0" collapsed="false">
      <c r="A791" s="2"/>
      <c r="B791" s="2"/>
      <c r="C791" s="2"/>
      <c r="D791" s="2"/>
      <c r="E791" s="2"/>
      <c r="F791" s="2"/>
      <c r="G791" s="2"/>
    </row>
    <row r="792" customFormat="false" ht="15.75" hidden="false" customHeight="true" outlineLevel="0" collapsed="false">
      <c r="A792" s="2"/>
      <c r="B792" s="2"/>
      <c r="C792" s="2"/>
      <c r="D792" s="2"/>
      <c r="E792" s="2"/>
      <c r="F792" s="2"/>
      <c r="G792" s="2"/>
    </row>
    <row r="793" customFormat="false" ht="15.75" hidden="false" customHeight="true" outlineLevel="0" collapsed="false">
      <c r="A793" s="2"/>
      <c r="B793" s="2"/>
      <c r="C793" s="2"/>
      <c r="D793" s="2"/>
      <c r="E793" s="2"/>
      <c r="F793" s="2"/>
      <c r="G793" s="2"/>
    </row>
    <row r="794" customFormat="false" ht="15.75" hidden="false" customHeight="true" outlineLevel="0" collapsed="false">
      <c r="A794" s="2"/>
      <c r="B794" s="2"/>
      <c r="C794" s="2"/>
      <c r="D794" s="2"/>
      <c r="E794" s="2"/>
      <c r="F794" s="2"/>
      <c r="G794" s="2"/>
    </row>
    <row r="795" customFormat="false" ht="15.75" hidden="false" customHeight="true" outlineLevel="0" collapsed="false">
      <c r="A795" s="2"/>
      <c r="B795" s="2"/>
      <c r="C795" s="2"/>
      <c r="D795" s="2"/>
      <c r="E795" s="2"/>
      <c r="F795" s="2"/>
      <c r="G795" s="2"/>
    </row>
    <row r="796" customFormat="false" ht="15.75" hidden="false" customHeight="true" outlineLevel="0" collapsed="false">
      <c r="A796" s="2"/>
      <c r="B796" s="2"/>
      <c r="C796" s="2"/>
      <c r="D796" s="2"/>
      <c r="E796" s="2"/>
      <c r="F796" s="2"/>
      <c r="G796" s="2"/>
    </row>
    <row r="797" customFormat="false" ht="15.75" hidden="false" customHeight="true" outlineLevel="0" collapsed="false">
      <c r="A797" s="2"/>
      <c r="B797" s="2"/>
      <c r="C797" s="2"/>
      <c r="D797" s="2"/>
      <c r="E797" s="2"/>
      <c r="F797" s="2"/>
      <c r="G797" s="2"/>
    </row>
    <row r="798" customFormat="false" ht="15.75" hidden="false" customHeight="true" outlineLevel="0" collapsed="false">
      <c r="A798" s="2"/>
      <c r="B798" s="2"/>
      <c r="C798" s="2"/>
      <c r="D798" s="2"/>
      <c r="E798" s="2"/>
      <c r="F798" s="2"/>
      <c r="G798" s="2"/>
    </row>
    <row r="799" customFormat="false" ht="15.75" hidden="false" customHeight="true" outlineLevel="0" collapsed="false">
      <c r="A799" s="2"/>
      <c r="B799" s="2"/>
      <c r="C799" s="2"/>
      <c r="D799" s="2"/>
      <c r="E799" s="2"/>
      <c r="F799" s="2"/>
      <c r="G799" s="2"/>
    </row>
    <row r="800" customFormat="false" ht="15.75" hidden="false" customHeight="true" outlineLevel="0" collapsed="false">
      <c r="A800" s="2"/>
      <c r="B800" s="2"/>
      <c r="C800" s="2"/>
      <c r="D800" s="2"/>
      <c r="E800" s="2"/>
      <c r="F800" s="2"/>
      <c r="G800" s="2"/>
    </row>
    <row r="801" customFormat="false" ht="15.75" hidden="false" customHeight="true" outlineLevel="0" collapsed="false">
      <c r="A801" s="2"/>
      <c r="B801" s="2"/>
      <c r="C801" s="2"/>
      <c r="D801" s="2"/>
      <c r="E801" s="2"/>
      <c r="F801" s="2"/>
      <c r="G801" s="2"/>
    </row>
    <row r="802" customFormat="false" ht="15.75" hidden="false" customHeight="true" outlineLevel="0" collapsed="false">
      <c r="A802" s="2"/>
      <c r="B802" s="2"/>
      <c r="C802" s="2"/>
      <c r="D802" s="2"/>
      <c r="E802" s="2"/>
      <c r="F802" s="2"/>
      <c r="G802" s="2"/>
    </row>
    <row r="803" customFormat="false" ht="15.75" hidden="false" customHeight="true" outlineLevel="0" collapsed="false">
      <c r="A803" s="2"/>
      <c r="B803" s="2"/>
      <c r="C803" s="2"/>
      <c r="D803" s="2"/>
      <c r="E803" s="2"/>
      <c r="F803" s="2"/>
      <c r="G803" s="2"/>
    </row>
    <row r="804" customFormat="false" ht="15.75" hidden="false" customHeight="true" outlineLevel="0" collapsed="false">
      <c r="A804" s="2"/>
      <c r="B804" s="2"/>
      <c r="C804" s="2"/>
      <c r="D804" s="2"/>
      <c r="E804" s="2"/>
      <c r="F804" s="2"/>
      <c r="G804" s="2"/>
    </row>
    <row r="805" customFormat="false" ht="15.75" hidden="false" customHeight="true" outlineLevel="0" collapsed="false">
      <c r="A805" s="2"/>
      <c r="B805" s="2"/>
      <c r="C805" s="2"/>
      <c r="D805" s="2"/>
      <c r="E805" s="2"/>
      <c r="F805" s="2"/>
      <c r="G805" s="2"/>
    </row>
    <row r="806" customFormat="false" ht="15.75" hidden="false" customHeight="true" outlineLevel="0" collapsed="false">
      <c r="A806" s="2"/>
      <c r="B806" s="2"/>
      <c r="C806" s="2"/>
      <c r="D806" s="2"/>
      <c r="E806" s="2"/>
      <c r="F806" s="2"/>
      <c r="G806" s="2"/>
    </row>
    <row r="807" customFormat="false" ht="15.75" hidden="false" customHeight="true" outlineLevel="0" collapsed="false">
      <c r="A807" s="2"/>
      <c r="B807" s="2"/>
      <c r="C807" s="2"/>
      <c r="D807" s="2"/>
      <c r="E807" s="2"/>
      <c r="F807" s="2"/>
      <c r="G807" s="2"/>
    </row>
    <row r="808" customFormat="false" ht="15.75" hidden="false" customHeight="true" outlineLevel="0" collapsed="false">
      <c r="A808" s="2"/>
      <c r="B808" s="2"/>
      <c r="C808" s="2"/>
      <c r="D808" s="2"/>
      <c r="E808" s="2"/>
      <c r="F808" s="2"/>
      <c r="G808" s="2"/>
    </row>
    <row r="809" customFormat="false" ht="15.75" hidden="false" customHeight="true" outlineLevel="0" collapsed="false">
      <c r="A809" s="2"/>
      <c r="B809" s="2"/>
      <c r="C809" s="2"/>
      <c r="D809" s="2"/>
      <c r="E809" s="2"/>
      <c r="F809" s="2"/>
      <c r="G809" s="2"/>
    </row>
    <row r="810" customFormat="false" ht="15.75" hidden="false" customHeight="true" outlineLevel="0" collapsed="false">
      <c r="A810" s="2"/>
      <c r="B810" s="2"/>
      <c r="C810" s="2"/>
      <c r="D810" s="2"/>
      <c r="E810" s="2"/>
      <c r="F810" s="2"/>
      <c r="G810" s="2"/>
    </row>
    <row r="811" customFormat="false" ht="15.75" hidden="false" customHeight="true" outlineLevel="0" collapsed="false">
      <c r="A811" s="2"/>
      <c r="B811" s="2"/>
      <c r="C811" s="2"/>
      <c r="D811" s="2"/>
      <c r="E811" s="2"/>
      <c r="F811" s="2"/>
      <c r="G811" s="2"/>
    </row>
    <row r="812" customFormat="false" ht="15.75" hidden="false" customHeight="true" outlineLevel="0" collapsed="false">
      <c r="A812" s="2"/>
      <c r="B812" s="2"/>
      <c r="C812" s="2"/>
      <c r="D812" s="2"/>
      <c r="E812" s="2"/>
      <c r="F812" s="2"/>
      <c r="G812" s="2"/>
    </row>
    <row r="813" customFormat="false" ht="15.75" hidden="false" customHeight="true" outlineLevel="0" collapsed="false">
      <c r="A813" s="2"/>
      <c r="B813" s="2"/>
      <c r="C813" s="2"/>
      <c r="D813" s="2"/>
      <c r="E813" s="2"/>
      <c r="F813" s="2"/>
      <c r="G813" s="2"/>
    </row>
    <row r="814" customFormat="false" ht="15.75" hidden="false" customHeight="true" outlineLevel="0" collapsed="false">
      <c r="A814" s="2"/>
      <c r="B814" s="2"/>
      <c r="C814" s="2"/>
      <c r="D814" s="2"/>
      <c r="E814" s="2"/>
      <c r="F814" s="2"/>
      <c r="G814" s="2"/>
    </row>
    <row r="815" customFormat="false" ht="15.75" hidden="false" customHeight="true" outlineLevel="0" collapsed="false">
      <c r="A815" s="2"/>
      <c r="B815" s="2"/>
      <c r="C815" s="2"/>
      <c r="D815" s="2"/>
      <c r="E815" s="2"/>
      <c r="F815" s="2"/>
      <c r="G815" s="2"/>
    </row>
    <row r="816" customFormat="false" ht="15.75" hidden="false" customHeight="true" outlineLevel="0" collapsed="false">
      <c r="A816" s="2"/>
      <c r="B816" s="2"/>
      <c r="C816" s="2"/>
      <c r="D816" s="2"/>
      <c r="E816" s="2"/>
      <c r="F816" s="2"/>
      <c r="G816" s="2"/>
    </row>
    <row r="817" customFormat="false" ht="15.75" hidden="false" customHeight="true" outlineLevel="0" collapsed="false">
      <c r="A817" s="2"/>
      <c r="B817" s="2"/>
      <c r="C817" s="2"/>
      <c r="D817" s="2"/>
      <c r="E817" s="2"/>
      <c r="F817" s="2"/>
      <c r="G817" s="2"/>
    </row>
    <row r="818" customFormat="false" ht="15.75" hidden="false" customHeight="true" outlineLevel="0" collapsed="false">
      <c r="A818" s="2"/>
      <c r="B818" s="2"/>
      <c r="C818" s="2"/>
      <c r="D818" s="2"/>
      <c r="E818" s="2"/>
      <c r="F818" s="2"/>
      <c r="G818" s="2"/>
    </row>
    <row r="819" customFormat="false" ht="15.75" hidden="false" customHeight="true" outlineLevel="0" collapsed="false">
      <c r="A819" s="2"/>
      <c r="B819" s="2"/>
      <c r="C819" s="2"/>
      <c r="D819" s="2"/>
      <c r="E819" s="2"/>
      <c r="F819" s="2"/>
      <c r="G819" s="2"/>
    </row>
    <row r="820" customFormat="false" ht="15.75" hidden="false" customHeight="true" outlineLevel="0" collapsed="false">
      <c r="A820" s="2"/>
      <c r="B820" s="2"/>
      <c r="C820" s="2"/>
      <c r="D820" s="2"/>
      <c r="E820" s="2"/>
      <c r="F820" s="2"/>
      <c r="G820" s="2"/>
    </row>
    <row r="821" customFormat="false" ht="15.75" hidden="false" customHeight="true" outlineLevel="0" collapsed="false">
      <c r="A821" s="2"/>
      <c r="B821" s="2"/>
      <c r="C821" s="2"/>
      <c r="D821" s="2"/>
      <c r="E821" s="2"/>
      <c r="F821" s="2"/>
      <c r="G821" s="2"/>
    </row>
    <row r="822" customFormat="false" ht="15.75" hidden="false" customHeight="true" outlineLevel="0" collapsed="false">
      <c r="A822" s="2"/>
      <c r="B822" s="2"/>
      <c r="C822" s="2"/>
      <c r="D822" s="2"/>
      <c r="E822" s="2"/>
      <c r="F822" s="2"/>
      <c r="G822" s="2"/>
    </row>
    <row r="823" customFormat="false" ht="15.75" hidden="false" customHeight="true" outlineLevel="0" collapsed="false">
      <c r="A823" s="2"/>
      <c r="B823" s="2"/>
      <c r="C823" s="2"/>
      <c r="D823" s="2"/>
      <c r="E823" s="2"/>
      <c r="F823" s="2"/>
      <c r="G823" s="2"/>
    </row>
    <row r="824" customFormat="false" ht="15.75" hidden="false" customHeight="true" outlineLevel="0" collapsed="false">
      <c r="A824" s="2"/>
      <c r="B824" s="2"/>
      <c r="C824" s="2"/>
      <c r="D824" s="2"/>
      <c r="E824" s="2"/>
      <c r="F824" s="2"/>
      <c r="G824" s="2"/>
    </row>
    <row r="825" customFormat="false" ht="15.75" hidden="false" customHeight="true" outlineLevel="0" collapsed="false">
      <c r="A825" s="2"/>
      <c r="B825" s="2"/>
      <c r="C825" s="2"/>
      <c r="D825" s="2"/>
      <c r="E825" s="2"/>
      <c r="F825" s="2"/>
      <c r="G825" s="2"/>
    </row>
    <row r="826" customFormat="false" ht="15.75" hidden="false" customHeight="true" outlineLevel="0" collapsed="false">
      <c r="A826" s="2"/>
      <c r="B826" s="2"/>
      <c r="C826" s="2"/>
      <c r="D826" s="2"/>
      <c r="E826" s="2"/>
      <c r="F826" s="2"/>
      <c r="G826" s="2"/>
    </row>
    <row r="827" customFormat="false" ht="15.75" hidden="false" customHeight="true" outlineLevel="0" collapsed="false">
      <c r="A827" s="2"/>
      <c r="B827" s="2"/>
      <c r="C827" s="2"/>
      <c r="D827" s="2"/>
      <c r="E827" s="2"/>
      <c r="F827" s="2"/>
      <c r="G827" s="2"/>
    </row>
    <row r="828" customFormat="false" ht="15.75" hidden="false" customHeight="true" outlineLevel="0" collapsed="false">
      <c r="A828" s="2"/>
      <c r="B828" s="2"/>
      <c r="C828" s="2"/>
      <c r="D828" s="2"/>
      <c r="E828" s="2"/>
      <c r="F828" s="2"/>
      <c r="G828" s="2"/>
    </row>
    <row r="829" customFormat="false" ht="15.75" hidden="false" customHeight="true" outlineLevel="0" collapsed="false">
      <c r="A829" s="2"/>
      <c r="B829" s="2"/>
      <c r="C829" s="2"/>
      <c r="D829" s="2"/>
      <c r="E829" s="2"/>
      <c r="F829" s="2"/>
      <c r="G829" s="2"/>
    </row>
    <row r="830" customFormat="false" ht="15.75" hidden="false" customHeight="true" outlineLevel="0" collapsed="false">
      <c r="A830" s="2"/>
      <c r="B830" s="2"/>
      <c r="C830" s="2"/>
      <c r="D830" s="2"/>
      <c r="E830" s="2"/>
      <c r="F830" s="2"/>
      <c r="G830" s="2"/>
    </row>
    <row r="831" customFormat="false" ht="15.75" hidden="false" customHeight="true" outlineLevel="0" collapsed="false">
      <c r="A831" s="2"/>
      <c r="B831" s="2"/>
      <c r="C831" s="2"/>
      <c r="D831" s="2"/>
      <c r="E831" s="2"/>
      <c r="F831" s="2"/>
      <c r="G831" s="2"/>
    </row>
    <row r="832" customFormat="false" ht="15.75" hidden="false" customHeight="true" outlineLevel="0" collapsed="false">
      <c r="A832" s="2"/>
      <c r="B832" s="2"/>
      <c r="C832" s="2"/>
      <c r="D832" s="2"/>
      <c r="E832" s="2"/>
      <c r="F832" s="2"/>
      <c r="G832" s="2"/>
    </row>
    <row r="833" customFormat="false" ht="15.75" hidden="false" customHeight="true" outlineLevel="0" collapsed="false">
      <c r="A833" s="2"/>
      <c r="B833" s="2"/>
      <c r="C833" s="2"/>
      <c r="D833" s="2"/>
      <c r="E833" s="2"/>
      <c r="F833" s="2"/>
      <c r="G833" s="2"/>
    </row>
    <row r="834" customFormat="false" ht="15.75" hidden="false" customHeight="true" outlineLevel="0" collapsed="false">
      <c r="A834" s="2"/>
      <c r="B834" s="2"/>
      <c r="C834" s="2"/>
      <c r="D834" s="2"/>
      <c r="E834" s="2"/>
      <c r="F834" s="2"/>
      <c r="G834" s="2"/>
    </row>
    <row r="835" customFormat="false" ht="15.75" hidden="false" customHeight="true" outlineLevel="0" collapsed="false">
      <c r="A835" s="2"/>
      <c r="B835" s="2"/>
      <c r="C835" s="2"/>
      <c r="D835" s="2"/>
      <c r="E835" s="2"/>
      <c r="F835" s="2"/>
      <c r="G835" s="2"/>
    </row>
    <row r="836" customFormat="false" ht="15.75" hidden="false" customHeight="true" outlineLevel="0" collapsed="false">
      <c r="A836" s="2"/>
      <c r="B836" s="2"/>
      <c r="C836" s="2"/>
      <c r="D836" s="2"/>
      <c r="E836" s="2"/>
      <c r="F836" s="2"/>
      <c r="G836" s="2"/>
    </row>
    <row r="837" customFormat="false" ht="15.75" hidden="false" customHeight="true" outlineLevel="0" collapsed="false">
      <c r="A837" s="2"/>
      <c r="B837" s="2"/>
      <c r="C837" s="2"/>
      <c r="D837" s="2"/>
      <c r="E837" s="2"/>
      <c r="F837" s="2"/>
      <c r="G837" s="2"/>
    </row>
    <row r="838" customFormat="false" ht="15.75" hidden="false" customHeight="true" outlineLevel="0" collapsed="false">
      <c r="A838" s="2"/>
      <c r="B838" s="2"/>
      <c r="C838" s="2"/>
      <c r="D838" s="2"/>
      <c r="E838" s="2"/>
      <c r="F838" s="2"/>
      <c r="G838" s="2"/>
    </row>
    <row r="839" customFormat="false" ht="15.75" hidden="false" customHeight="true" outlineLevel="0" collapsed="false">
      <c r="A839" s="2"/>
      <c r="B839" s="2"/>
      <c r="C839" s="2"/>
      <c r="D839" s="2"/>
      <c r="E839" s="2"/>
      <c r="F839" s="2"/>
      <c r="G839" s="2"/>
    </row>
    <row r="840" customFormat="false" ht="15.75" hidden="false" customHeight="true" outlineLevel="0" collapsed="false">
      <c r="A840" s="2"/>
      <c r="B840" s="2"/>
      <c r="C840" s="2"/>
      <c r="D840" s="2"/>
      <c r="E840" s="2"/>
      <c r="F840" s="2"/>
      <c r="G840" s="2"/>
    </row>
    <row r="841" customFormat="false" ht="15.75" hidden="false" customHeight="true" outlineLevel="0" collapsed="false">
      <c r="A841" s="2"/>
      <c r="B841" s="2"/>
      <c r="C841" s="2"/>
      <c r="D841" s="2"/>
      <c r="E841" s="2"/>
      <c r="F841" s="2"/>
      <c r="G841" s="2"/>
    </row>
    <row r="842" customFormat="false" ht="15.75" hidden="false" customHeight="true" outlineLevel="0" collapsed="false">
      <c r="A842" s="2"/>
      <c r="B842" s="2"/>
      <c r="C842" s="2"/>
      <c r="D842" s="2"/>
      <c r="E842" s="2"/>
      <c r="F842" s="2"/>
      <c r="G842" s="2"/>
    </row>
    <row r="843" customFormat="false" ht="15.75" hidden="false" customHeight="true" outlineLevel="0" collapsed="false">
      <c r="A843" s="2"/>
      <c r="B843" s="2"/>
      <c r="C843" s="2"/>
      <c r="D843" s="2"/>
      <c r="E843" s="2"/>
      <c r="F843" s="2"/>
      <c r="G843" s="2"/>
    </row>
    <row r="844" customFormat="false" ht="15.75" hidden="false" customHeight="true" outlineLevel="0" collapsed="false">
      <c r="A844" s="2"/>
      <c r="B844" s="2"/>
      <c r="C844" s="2"/>
      <c r="D844" s="2"/>
      <c r="E844" s="2"/>
      <c r="F844" s="2"/>
      <c r="G844" s="2"/>
    </row>
    <row r="845" customFormat="false" ht="15.75" hidden="false" customHeight="true" outlineLevel="0" collapsed="false">
      <c r="A845" s="2"/>
      <c r="B845" s="2"/>
      <c r="C845" s="2"/>
      <c r="D845" s="2"/>
      <c r="E845" s="2"/>
      <c r="F845" s="2"/>
      <c r="G845" s="2"/>
    </row>
    <row r="846" customFormat="false" ht="15.75" hidden="false" customHeight="true" outlineLevel="0" collapsed="false">
      <c r="A846" s="2"/>
      <c r="B846" s="2"/>
      <c r="C846" s="2"/>
      <c r="D846" s="2"/>
      <c r="E846" s="2"/>
      <c r="F846" s="2"/>
      <c r="G846" s="2"/>
    </row>
    <row r="847" customFormat="false" ht="15.75" hidden="false" customHeight="true" outlineLevel="0" collapsed="false">
      <c r="A847" s="2"/>
      <c r="B847" s="2"/>
      <c r="C847" s="2"/>
      <c r="D847" s="2"/>
      <c r="E847" s="2"/>
      <c r="F847" s="2"/>
      <c r="G847" s="2"/>
    </row>
    <row r="848" customFormat="false" ht="15.75" hidden="false" customHeight="true" outlineLevel="0" collapsed="false">
      <c r="A848" s="2"/>
      <c r="B848" s="2"/>
      <c r="C848" s="2"/>
      <c r="D848" s="2"/>
      <c r="E848" s="2"/>
      <c r="F848" s="2"/>
      <c r="G848" s="2"/>
    </row>
    <row r="849" customFormat="false" ht="15.75" hidden="false" customHeight="true" outlineLevel="0" collapsed="false">
      <c r="A849" s="2"/>
      <c r="B849" s="2"/>
      <c r="C849" s="2"/>
      <c r="D849" s="2"/>
      <c r="E849" s="2"/>
      <c r="F849" s="2"/>
      <c r="G849" s="2"/>
    </row>
    <row r="850" customFormat="false" ht="15.75" hidden="false" customHeight="true" outlineLevel="0" collapsed="false">
      <c r="A850" s="2"/>
      <c r="B850" s="2"/>
      <c r="C850" s="2"/>
      <c r="D850" s="2"/>
      <c r="E850" s="2"/>
      <c r="F850" s="2"/>
      <c r="G850" s="2"/>
    </row>
    <row r="851" customFormat="false" ht="15.75" hidden="false" customHeight="true" outlineLevel="0" collapsed="false">
      <c r="A851" s="2"/>
      <c r="B851" s="2"/>
      <c r="C851" s="2"/>
      <c r="D851" s="2"/>
      <c r="E851" s="2"/>
      <c r="F851" s="2"/>
      <c r="G851" s="2"/>
    </row>
    <row r="852" customFormat="false" ht="15.75" hidden="false" customHeight="true" outlineLevel="0" collapsed="false">
      <c r="A852" s="2"/>
      <c r="B852" s="2"/>
      <c r="C852" s="2"/>
      <c r="D852" s="2"/>
      <c r="E852" s="2"/>
      <c r="F852" s="2"/>
      <c r="G852" s="2"/>
    </row>
    <row r="853" customFormat="false" ht="15.75" hidden="false" customHeight="true" outlineLevel="0" collapsed="false">
      <c r="A853" s="2"/>
      <c r="B853" s="2"/>
      <c r="C853" s="2"/>
      <c r="D853" s="2"/>
      <c r="E853" s="2"/>
      <c r="F853" s="2"/>
      <c r="G853" s="2"/>
    </row>
    <row r="854" customFormat="false" ht="15.75" hidden="false" customHeight="true" outlineLevel="0" collapsed="false">
      <c r="A854" s="2"/>
      <c r="B854" s="2"/>
      <c r="C854" s="2"/>
      <c r="D854" s="2"/>
      <c r="E854" s="2"/>
      <c r="F854" s="2"/>
      <c r="G854" s="2"/>
    </row>
    <row r="855" customFormat="false" ht="15.75" hidden="false" customHeight="true" outlineLevel="0" collapsed="false">
      <c r="A855" s="2"/>
      <c r="B855" s="2"/>
      <c r="C855" s="2"/>
      <c r="D855" s="2"/>
      <c r="E855" s="2"/>
      <c r="F855" s="2"/>
      <c r="G855" s="2"/>
    </row>
    <row r="856" customFormat="false" ht="15.75" hidden="false" customHeight="true" outlineLevel="0" collapsed="false">
      <c r="A856" s="2"/>
      <c r="B856" s="2"/>
      <c r="C856" s="2"/>
      <c r="D856" s="2"/>
      <c r="E856" s="2"/>
      <c r="F856" s="2"/>
      <c r="G856" s="2"/>
    </row>
    <row r="857" customFormat="false" ht="15.75" hidden="false" customHeight="true" outlineLevel="0" collapsed="false">
      <c r="A857" s="2"/>
      <c r="B857" s="2"/>
      <c r="C857" s="2"/>
      <c r="D857" s="2"/>
      <c r="E857" s="2"/>
      <c r="F857" s="2"/>
      <c r="G857" s="2"/>
    </row>
    <row r="858" customFormat="false" ht="15.75" hidden="false" customHeight="true" outlineLevel="0" collapsed="false">
      <c r="A858" s="2"/>
      <c r="B858" s="2"/>
      <c r="C858" s="2"/>
      <c r="D858" s="2"/>
      <c r="E858" s="2"/>
      <c r="F858" s="2"/>
      <c r="G858" s="2"/>
    </row>
    <row r="859" customFormat="false" ht="15.75" hidden="false" customHeight="true" outlineLevel="0" collapsed="false">
      <c r="A859" s="2"/>
      <c r="B859" s="2"/>
      <c r="C859" s="2"/>
      <c r="D859" s="2"/>
      <c r="E859" s="2"/>
      <c r="F859" s="2"/>
      <c r="G859" s="2"/>
    </row>
    <row r="860" customFormat="false" ht="15.75" hidden="false" customHeight="true" outlineLevel="0" collapsed="false">
      <c r="A860" s="2"/>
      <c r="B860" s="2"/>
      <c r="C860" s="2"/>
      <c r="D860" s="2"/>
      <c r="E860" s="2"/>
      <c r="F860" s="2"/>
      <c r="G860" s="2"/>
    </row>
    <row r="861" customFormat="false" ht="15.75" hidden="false" customHeight="true" outlineLevel="0" collapsed="false">
      <c r="A861" s="2"/>
      <c r="B861" s="2"/>
      <c r="C861" s="2"/>
      <c r="D861" s="2"/>
      <c r="E861" s="2"/>
      <c r="F861" s="2"/>
      <c r="G861" s="2"/>
    </row>
    <row r="862" customFormat="false" ht="15.75" hidden="false" customHeight="true" outlineLevel="0" collapsed="false">
      <c r="A862" s="2"/>
      <c r="B862" s="2"/>
      <c r="C862" s="2"/>
      <c r="D862" s="2"/>
      <c r="E862" s="2"/>
      <c r="F862" s="2"/>
      <c r="G862" s="2"/>
    </row>
    <row r="863" customFormat="false" ht="15.75" hidden="false" customHeight="true" outlineLevel="0" collapsed="false">
      <c r="A863" s="2"/>
      <c r="B863" s="2"/>
      <c r="C863" s="2"/>
      <c r="D863" s="2"/>
      <c r="E863" s="2"/>
      <c r="F863" s="2"/>
      <c r="G863" s="2"/>
    </row>
    <row r="864" customFormat="false" ht="15.75" hidden="false" customHeight="true" outlineLevel="0" collapsed="false">
      <c r="A864" s="2"/>
      <c r="B864" s="2"/>
      <c r="C864" s="2"/>
      <c r="D864" s="2"/>
      <c r="E864" s="2"/>
      <c r="F864" s="2"/>
      <c r="G864" s="2"/>
    </row>
    <row r="865" customFormat="false" ht="15.75" hidden="false" customHeight="true" outlineLevel="0" collapsed="false">
      <c r="A865" s="2"/>
      <c r="B865" s="2"/>
      <c r="C865" s="2"/>
      <c r="D865" s="2"/>
      <c r="E865" s="2"/>
      <c r="F865" s="2"/>
      <c r="G865" s="2"/>
    </row>
    <row r="866" customFormat="false" ht="15.75" hidden="false" customHeight="true" outlineLevel="0" collapsed="false">
      <c r="A866" s="2"/>
      <c r="B866" s="2"/>
      <c r="C866" s="2"/>
      <c r="D866" s="2"/>
      <c r="E866" s="2"/>
      <c r="F866" s="2"/>
      <c r="G866" s="2"/>
    </row>
    <row r="867" customFormat="false" ht="15.75" hidden="false" customHeight="true" outlineLevel="0" collapsed="false">
      <c r="A867" s="2"/>
      <c r="B867" s="2"/>
      <c r="C867" s="2"/>
      <c r="D867" s="2"/>
      <c r="E867" s="2"/>
      <c r="F867" s="2"/>
      <c r="G867" s="2"/>
    </row>
    <row r="868" customFormat="false" ht="15.75" hidden="false" customHeight="true" outlineLevel="0" collapsed="false">
      <c r="A868" s="2"/>
      <c r="B868" s="2"/>
      <c r="C868" s="2"/>
      <c r="D868" s="2"/>
      <c r="E868" s="2"/>
      <c r="F868" s="2"/>
      <c r="G868" s="2"/>
    </row>
    <row r="869" customFormat="false" ht="15.75" hidden="false" customHeight="true" outlineLevel="0" collapsed="false">
      <c r="A869" s="2"/>
      <c r="B869" s="2"/>
      <c r="C869" s="2"/>
      <c r="D869" s="2"/>
      <c r="E869" s="2"/>
      <c r="F869" s="2"/>
      <c r="G869" s="2"/>
    </row>
    <row r="870" customFormat="false" ht="15.75" hidden="false" customHeight="true" outlineLevel="0" collapsed="false">
      <c r="A870" s="2"/>
      <c r="B870" s="2"/>
      <c r="C870" s="2"/>
      <c r="D870" s="2"/>
      <c r="E870" s="2"/>
      <c r="F870" s="2"/>
      <c r="G870" s="2"/>
    </row>
    <row r="871" customFormat="false" ht="15.75" hidden="false" customHeight="true" outlineLevel="0" collapsed="false">
      <c r="A871" s="2"/>
      <c r="B871" s="2"/>
      <c r="C871" s="2"/>
      <c r="D871" s="2"/>
      <c r="E871" s="2"/>
      <c r="F871" s="2"/>
      <c r="G871" s="2"/>
    </row>
    <row r="872" customFormat="false" ht="15.75" hidden="false" customHeight="true" outlineLevel="0" collapsed="false">
      <c r="A872" s="2"/>
      <c r="B872" s="2"/>
      <c r="C872" s="2"/>
      <c r="D872" s="2"/>
      <c r="E872" s="2"/>
      <c r="F872" s="2"/>
      <c r="G872" s="2"/>
    </row>
    <row r="873" customFormat="false" ht="15.75" hidden="false" customHeight="true" outlineLevel="0" collapsed="false">
      <c r="A873" s="2"/>
      <c r="B873" s="2"/>
      <c r="C873" s="2"/>
      <c r="D873" s="2"/>
      <c r="E873" s="2"/>
      <c r="F873" s="2"/>
      <c r="G873" s="2"/>
    </row>
    <row r="874" customFormat="false" ht="15.75" hidden="false" customHeight="true" outlineLevel="0" collapsed="false">
      <c r="A874" s="2"/>
      <c r="B874" s="2"/>
      <c r="C874" s="2"/>
      <c r="D874" s="2"/>
      <c r="E874" s="2"/>
      <c r="F874" s="2"/>
      <c r="G874" s="2"/>
    </row>
    <row r="875" customFormat="false" ht="15.75" hidden="false" customHeight="true" outlineLevel="0" collapsed="false">
      <c r="A875" s="2"/>
      <c r="B875" s="2"/>
      <c r="C875" s="2"/>
      <c r="D875" s="2"/>
      <c r="E875" s="2"/>
      <c r="F875" s="2"/>
      <c r="G875" s="2"/>
    </row>
    <row r="876" customFormat="false" ht="15.75" hidden="false" customHeight="true" outlineLevel="0" collapsed="false">
      <c r="A876" s="2"/>
      <c r="B876" s="2"/>
      <c r="C876" s="2"/>
      <c r="D876" s="2"/>
      <c r="E876" s="2"/>
      <c r="F876" s="2"/>
      <c r="G876" s="2"/>
    </row>
    <row r="877" customFormat="false" ht="15.75" hidden="false" customHeight="true" outlineLevel="0" collapsed="false">
      <c r="A877" s="2"/>
      <c r="B877" s="2"/>
      <c r="C877" s="2"/>
      <c r="D877" s="2"/>
      <c r="E877" s="2"/>
      <c r="F877" s="2"/>
      <c r="G877" s="2"/>
    </row>
    <row r="878" customFormat="false" ht="15.75" hidden="false" customHeight="true" outlineLevel="0" collapsed="false">
      <c r="A878" s="2"/>
      <c r="B878" s="2"/>
      <c r="C878" s="2"/>
      <c r="D878" s="2"/>
      <c r="E878" s="2"/>
      <c r="F878" s="2"/>
      <c r="G878" s="2"/>
    </row>
    <row r="879" customFormat="false" ht="15.75" hidden="false" customHeight="true" outlineLevel="0" collapsed="false">
      <c r="A879" s="2"/>
      <c r="B879" s="2"/>
      <c r="C879" s="2"/>
      <c r="D879" s="2"/>
      <c r="E879" s="2"/>
      <c r="F879" s="2"/>
      <c r="G879" s="2"/>
    </row>
    <row r="880" customFormat="false" ht="15.75" hidden="false" customHeight="true" outlineLevel="0" collapsed="false">
      <c r="A880" s="2"/>
      <c r="B880" s="2"/>
      <c r="C880" s="2"/>
      <c r="D880" s="2"/>
      <c r="E880" s="2"/>
      <c r="F880" s="2"/>
      <c r="G880" s="2"/>
    </row>
    <row r="881" customFormat="false" ht="15.75" hidden="false" customHeight="true" outlineLevel="0" collapsed="false">
      <c r="A881" s="2"/>
      <c r="B881" s="2"/>
      <c r="C881" s="2"/>
      <c r="D881" s="2"/>
      <c r="E881" s="2"/>
      <c r="F881" s="2"/>
      <c r="G881" s="2"/>
    </row>
    <row r="882" customFormat="false" ht="15.75" hidden="false" customHeight="true" outlineLevel="0" collapsed="false">
      <c r="A882" s="2"/>
      <c r="B882" s="2"/>
      <c r="C882" s="2"/>
      <c r="D882" s="2"/>
      <c r="E882" s="2"/>
      <c r="F882" s="2"/>
      <c r="G882" s="2"/>
    </row>
    <row r="883" customFormat="false" ht="15.75" hidden="false" customHeight="true" outlineLevel="0" collapsed="false">
      <c r="A883" s="2"/>
      <c r="B883" s="2"/>
      <c r="C883" s="2"/>
      <c r="D883" s="2"/>
      <c r="E883" s="2"/>
      <c r="F883" s="2"/>
      <c r="G883" s="2"/>
    </row>
    <row r="884" customFormat="false" ht="15.75" hidden="false" customHeight="true" outlineLevel="0" collapsed="false">
      <c r="A884" s="2"/>
      <c r="B884" s="2"/>
      <c r="C884" s="2"/>
      <c r="D884" s="2"/>
      <c r="E884" s="2"/>
      <c r="F884" s="2"/>
      <c r="G884" s="2"/>
    </row>
    <row r="885" customFormat="false" ht="15.75" hidden="false" customHeight="true" outlineLevel="0" collapsed="false">
      <c r="A885" s="2"/>
      <c r="B885" s="2"/>
      <c r="C885" s="2"/>
      <c r="D885" s="2"/>
      <c r="E885" s="2"/>
      <c r="F885" s="2"/>
      <c r="G885" s="2"/>
    </row>
    <row r="886" customFormat="false" ht="15.75" hidden="false" customHeight="true" outlineLevel="0" collapsed="false">
      <c r="A886" s="2"/>
      <c r="B886" s="2"/>
      <c r="C886" s="2"/>
      <c r="D886" s="2"/>
      <c r="E886" s="2"/>
      <c r="F886" s="2"/>
      <c r="G886" s="2"/>
    </row>
    <row r="887" customFormat="false" ht="15.75" hidden="false" customHeight="true" outlineLevel="0" collapsed="false">
      <c r="A887" s="2"/>
      <c r="B887" s="2"/>
      <c r="C887" s="2"/>
      <c r="D887" s="2"/>
      <c r="E887" s="2"/>
      <c r="F887" s="2"/>
      <c r="G887" s="2"/>
    </row>
    <row r="888" customFormat="false" ht="15.75" hidden="false" customHeight="true" outlineLevel="0" collapsed="false">
      <c r="A888" s="2"/>
      <c r="B888" s="2"/>
      <c r="C888" s="2"/>
      <c r="D888" s="2"/>
      <c r="E888" s="2"/>
      <c r="F888" s="2"/>
      <c r="G888" s="2"/>
    </row>
    <row r="889" customFormat="false" ht="15.75" hidden="false" customHeight="true" outlineLevel="0" collapsed="false">
      <c r="A889" s="2"/>
      <c r="B889" s="2"/>
      <c r="C889" s="2"/>
      <c r="D889" s="2"/>
      <c r="E889" s="2"/>
      <c r="F889" s="2"/>
      <c r="G889" s="2"/>
    </row>
    <row r="890" customFormat="false" ht="15.75" hidden="false" customHeight="true" outlineLevel="0" collapsed="false">
      <c r="A890" s="2"/>
      <c r="B890" s="2"/>
      <c r="C890" s="2"/>
      <c r="D890" s="2"/>
      <c r="E890" s="2"/>
      <c r="F890" s="2"/>
      <c r="G890" s="2"/>
    </row>
    <row r="891" customFormat="false" ht="15.75" hidden="false" customHeight="true" outlineLevel="0" collapsed="false">
      <c r="A891" s="2"/>
      <c r="B891" s="2"/>
      <c r="C891" s="2"/>
      <c r="D891" s="2"/>
      <c r="E891" s="2"/>
      <c r="F891" s="2"/>
      <c r="G891" s="2"/>
    </row>
    <row r="892" customFormat="false" ht="15.75" hidden="false" customHeight="true" outlineLevel="0" collapsed="false">
      <c r="A892" s="2"/>
      <c r="B892" s="2"/>
      <c r="C892" s="2"/>
      <c r="D892" s="2"/>
      <c r="E892" s="2"/>
      <c r="F892" s="2"/>
      <c r="G892" s="2"/>
    </row>
    <row r="893" customFormat="false" ht="15.75" hidden="false" customHeight="true" outlineLevel="0" collapsed="false">
      <c r="A893" s="2"/>
      <c r="B893" s="2"/>
      <c r="C893" s="2"/>
      <c r="D893" s="2"/>
      <c r="E893" s="2"/>
      <c r="F893" s="2"/>
      <c r="G893" s="2"/>
    </row>
    <row r="894" customFormat="false" ht="15.75" hidden="false" customHeight="true" outlineLevel="0" collapsed="false">
      <c r="A894" s="2"/>
      <c r="B894" s="2"/>
      <c r="C894" s="2"/>
      <c r="D894" s="2"/>
      <c r="E894" s="2"/>
      <c r="F894" s="2"/>
      <c r="G894" s="2"/>
    </row>
    <row r="895" customFormat="false" ht="15.75" hidden="false" customHeight="true" outlineLevel="0" collapsed="false">
      <c r="A895" s="2"/>
      <c r="B895" s="2"/>
      <c r="C895" s="2"/>
      <c r="D895" s="2"/>
      <c r="E895" s="2"/>
      <c r="F895" s="2"/>
      <c r="G895" s="2"/>
    </row>
    <row r="896" customFormat="false" ht="15.75" hidden="false" customHeight="true" outlineLevel="0" collapsed="false">
      <c r="A896" s="2"/>
      <c r="B896" s="2"/>
      <c r="C896" s="2"/>
      <c r="D896" s="2"/>
      <c r="E896" s="2"/>
      <c r="F896" s="2"/>
      <c r="G896" s="2"/>
    </row>
    <row r="897" customFormat="false" ht="15.75" hidden="false" customHeight="true" outlineLevel="0" collapsed="false">
      <c r="A897" s="2"/>
      <c r="B897" s="2"/>
      <c r="C897" s="2"/>
      <c r="D897" s="2"/>
      <c r="E897" s="2"/>
      <c r="F897" s="2"/>
      <c r="G897" s="2"/>
    </row>
    <row r="898" customFormat="false" ht="15.75" hidden="false" customHeight="true" outlineLevel="0" collapsed="false">
      <c r="A898" s="2"/>
      <c r="B898" s="2"/>
      <c r="C898" s="2"/>
      <c r="D898" s="2"/>
      <c r="E898" s="2"/>
      <c r="F898" s="2"/>
      <c r="G898" s="2"/>
    </row>
    <row r="899" customFormat="false" ht="15.75" hidden="false" customHeight="true" outlineLevel="0" collapsed="false">
      <c r="A899" s="2"/>
      <c r="B899" s="2"/>
      <c r="C899" s="2"/>
      <c r="D899" s="2"/>
      <c r="E899" s="2"/>
      <c r="F899" s="2"/>
      <c r="G899" s="2"/>
    </row>
    <row r="900" customFormat="false" ht="15.75" hidden="false" customHeight="true" outlineLevel="0" collapsed="false">
      <c r="A900" s="2"/>
      <c r="B900" s="2"/>
      <c r="C900" s="2"/>
      <c r="D900" s="2"/>
      <c r="E900" s="2"/>
      <c r="F900" s="2"/>
      <c r="G900" s="2"/>
    </row>
    <row r="901" customFormat="false" ht="15.75" hidden="false" customHeight="true" outlineLevel="0" collapsed="false">
      <c r="A901" s="2"/>
      <c r="B901" s="2"/>
      <c r="C901" s="2"/>
      <c r="D901" s="2"/>
      <c r="E901" s="2"/>
      <c r="F901" s="2"/>
      <c r="G901" s="2"/>
    </row>
    <row r="902" customFormat="false" ht="15.75" hidden="false" customHeight="true" outlineLevel="0" collapsed="false">
      <c r="A902" s="2"/>
      <c r="B902" s="2"/>
      <c r="C902" s="2"/>
      <c r="D902" s="2"/>
      <c r="E902" s="2"/>
      <c r="F902" s="2"/>
      <c r="G902" s="2"/>
    </row>
    <row r="903" customFormat="false" ht="15.75" hidden="false" customHeight="true" outlineLevel="0" collapsed="false">
      <c r="A903" s="2"/>
      <c r="B903" s="2"/>
      <c r="C903" s="2"/>
      <c r="D903" s="2"/>
      <c r="E903" s="2"/>
      <c r="F903" s="2"/>
      <c r="G903" s="2"/>
    </row>
    <row r="904" customFormat="false" ht="15.75" hidden="false" customHeight="true" outlineLevel="0" collapsed="false">
      <c r="A904" s="2"/>
      <c r="B904" s="2"/>
      <c r="C904" s="2"/>
      <c r="D904" s="2"/>
      <c r="E904" s="2"/>
      <c r="F904" s="2"/>
      <c r="G904" s="2"/>
    </row>
    <row r="905" customFormat="false" ht="15.75" hidden="false" customHeight="true" outlineLevel="0" collapsed="false">
      <c r="A905" s="2"/>
      <c r="B905" s="2"/>
      <c r="C905" s="2"/>
      <c r="D905" s="2"/>
      <c r="E905" s="2"/>
      <c r="F905" s="2"/>
      <c r="G905" s="2"/>
    </row>
    <row r="906" customFormat="false" ht="15.75" hidden="false" customHeight="true" outlineLevel="0" collapsed="false">
      <c r="A906" s="2"/>
      <c r="B906" s="2"/>
      <c r="C906" s="2"/>
      <c r="D906" s="2"/>
      <c r="E906" s="2"/>
      <c r="F906" s="2"/>
      <c r="G906" s="2"/>
    </row>
    <row r="907" customFormat="false" ht="15.75" hidden="false" customHeight="true" outlineLevel="0" collapsed="false">
      <c r="A907" s="2"/>
      <c r="B907" s="2"/>
      <c r="C907" s="2"/>
      <c r="D907" s="2"/>
      <c r="E907" s="2"/>
      <c r="F907" s="2"/>
      <c r="G907" s="2"/>
    </row>
    <row r="908" customFormat="false" ht="15.75" hidden="false" customHeight="true" outlineLevel="0" collapsed="false">
      <c r="A908" s="2"/>
      <c r="B908" s="2"/>
      <c r="C908" s="2"/>
      <c r="D908" s="2"/>
      <c r="E908" s="2"/>
      <c r="F908" s="2"/>
      <c r="G908" s="2"/>
    </row>
    <row r="909" customFormat="false" ht="15.75" hidden="false" customHeight="true" outlineLevel="0" collapsed="false">
      <c r="A909" s="2"/>
      <c r="B909" s="2"/>
      <c r="C909" s="2"/>
      <c r="D909" s="2"/>
      <c r="E909" s="2"/>
      <c r="F909" s="2"/>
      <c r="G909" s="2"/>
    </row>
    <row r="910" customFormat="false" ht="15.75" hidden="false" customHeight="true" outlineLevel="0" collapsed="false">
      <c r="A910" s="2"/>
      <c r="B910" s="2"/>
      <c r="C910" s="2"/>
      <c r="D910" s="2"/>
      <c r="E910" s="2"/>
      <c r="F910" s="2"/>
      <c r="G910" s="2"/>
    </row>
    <row r="911" customFormat="false" ht="15.75" hidden="false" customHeight="true" outlineLevel="0" collapsed="false">
      <c r="A911" s="2"/>
      <c r="B911" s="2"/>
      <c r="C911" s="2"/>
      <c r="D911" s="2"/>
      <c r="E911" s="2"/>
      <c r="F911" s="2"/>
      <c r="G911" s="2"/>
    </row>
    <row r="912" customFormat="false" ht="15.75" hidden="false" customHeight="true" outlineLevel="0" collapsed="false">
      <c r="A912" s="2"/>
      <c r="B912" s="2"/>
      <c r="C912" s="2"/>
      <c r="D912" s="2"/>
      <c r="E912" s="2"/>
      <c r="F912" s="2"/>
      <c r="G912" s="2"/>
    </row>
    <row r="913" customFormat="false" ht="15.75" hidden="false" customHeight="true" outlineLevel="0" collapsed="false">
      <c r="A913" s="2"/>
      <c r="B913" s="2"/>
      <c r="C913" s="2"/>
      <c r="D913" s="2"/>
      <c r="E913" s="2"/>
      <c r="F913" s="2"/>
      <c r="G913" s="2"/>
    </row>
    <row r="914" customFormat="false" ht="15.75" hidden="false" customHeight="true" outlineLevel="0" collapsed="false">
      <c r="A914" s="2"/>
      <c r="B914" s="2"/>
      <c r="C914" s="2"/>
      <c r="D914" s="2"/>
      <c r="E914" s="2"/>
      <c r="F914" s="2"/>
      <c r="G914" s="2"/>
    </row>
    <row r="915" customFormat="false" ht="15.75" hidden="false" customHeight="true" outlineLevel="0" collapsed="false">
      <c r="A915" s="2"/>
      <c r="B915" s="2"/>
      <c r="C915" s="2"/>
      <c r="D915" s="2"/>
      <c r="E915" s="2"/>
      <c r="F915" s="2"/>
      <c r="G915" s="2"/>
    </row>
    <row r="916" customFormat="false" ht="15.75" hidden="false" customHeight="true" outlineLevel="0" collapsed="false">
      <c r="A916" s="2"/>
      <c r="B916" s="2"/>
      <c r="C916" s="2"/>
      <c r="D916" s="2"/>
      <c r="E916" s="2"/>
      <c r="F916" s="2"/>
      <c r="G916" s="2"/>
    </row>
    <row r="917" customFormat="false" ht="15.75" hidden="false" customHeight="true" outlineLevel="0" collapsed="false">
      <c r="A917" s="2"/>
      <c r="B917" s="2"/>
      <c r="C917" s="2"/>
      <c r="D917" s="2"/>
      <c r="E917" s="2"/>
      <c r="F917" s="2"/>
      <c r="G917" s="2"/>
    </row>
    <row r="918" customFormat="false" ht="15.75" hidden="false" customHeight="true" outlineLevel="0" collapsed="false">
      <c r="A918" s="2"/>
      <c r="B918" s="2"/>
      <c r="C918" s="2"/>
      <c r="D918" s="2"/>
      <c r="E918" s="2"/>
      <c r="F918" s="2"/>
      <c r="G918" s="2"/>
    </row>
    <row r="919" customFormat="false" ht="15.75" hidden="false" customHeight="true" outlineLevel="0" collapsed="false">
      <c r="A919" s="2"/>
      <c r="B919" s="2"/>
      <c r="C919" s="2"/>
      <c r="D919" s="2"/>
      <c r="E919" s="2"/>
      <c r="F919" s="2"/>
      <c r="G919" s="2"/>
    </row>
    <row r="920" customFormat="false" ht="15.75" hidden="false" customHeight="true" outlineLevel="0" collapsed="false">
      <c r="A920" s="2"/>
      <c r="B920" s="2"/>
      <c r="C920" s="2"/>
      <c r="D920" s="2"/>
      <c r="E920" s="2"/>
      <c r="F920" s="2"/>
      <c r="G920" s="2"/>
    </row>
    <row r="921" customFormat="false" ht="15.75" hidden="false" customHeight="true" outlineLevel="0" collapsed="false">
      <c r="A921" s="2"/>
      <c r="B921" s="2"/>
      <c r="C921" s="2"/>
      <c r="D921" s="2"/>
      <c r="E921" s="2"/>
      <c r="F921" s="2"/>
      <c r="G921" s="2"/>
    </row>
    <row r="922" customFormat="false" ht="15.75" hidden="false" customHeight="true" outlineLevel="0" collapsed="false">
      <c r="A922" s="2"/>
      <c r="B922" s="2"/>
      <c r="C922" s="2"/>
      <c r="D922" s="2"/>
      <c r="E922" s="2"/>
      <c r="F922" s="2"/>
      <c r="G922" s="2"/>
    </row>
    <row r="923" customFormat="false" ht="15.75" hidden="false" customHeight="true" outlineLevel="0" collapsed="false">
      <c r="A923" s="2"/>
      <c r="B923" s="2"/>
      <c r="C923" s="2"/>
      <c r="D923" s="2"/>
      <c r="E923" s="2"/>
      <c r="F923" s="2"/>
      <c r="G923" s="2"/>
    </row>
    <row r="924" customFormat="false" ht="15.75" hidden="false" customHeight="true" outlineLevel="0" collapsed="false">
      <c r="A924" s="2"/>
      <c r="B924" s="2"/>
      <c r="C924" s="2"/>
      <c r="D924" s="2"/>
      <c r="E924" s="2"/>
      <c r="F924" s="2"/>
      <c r="G924" s="2"/>
    </row>
    <row r="925" customFormat="false" ht="15.75" hidden="false" customHeight="true" outlineLevel="0" collapsed="false">
      <c r="A925" s="2"/>
      <c r="B925" s="2"/>
      <c r="C925" s="2"/>
      <c r="D925" s="2"/>
      <c r="E925" s="2"/>
      <c r="F925" s="2"/>
      <c r="G925" s="2"/>
    </row>
    <row r="926" customFormat="false" ht="15.75" hidden="false" customHeight="true" outlineLevel="0" collapsed="false">
      <c r="A926" s="2"/>
      <c r="B926" s="2"/>
      <c r="C926" s="2"/>
      <c r="D926" s="2"/>
      <c r="E926" s="2"/>
      <c r="F926" s="2"/>
      <c r="G926" s="2"/>
    </row>
    <row r="927" customFormat="false" ht="15.75" hidden="false" customHeight="true" outlineLevel="0" collapsed="false">
      <c r="A927" s="2"/>
      <c r="B927" s="2"/>
      <c r="C927" s="2"/>
      <c r="D927" s="2"/>
      <c r="E927" s="2"/>
      <c r="F927" s="2"/>
      <c r="G927" s="2"/>
    </row>
    <row r="928" customFormat="false" ht="15.75" hidden="false" customHeight="true" outlineLevel="0" collapsed="false">
      <c r="A928" s="2"/>
      <c r="B928" s="2"/>
      <c r="C928" s="2"/>
      <c r="D928" s="2"/>
      <c r="E928" s="2"/>
      <c r="F928" s="2"/>
      <c r="G928" s="2"/>
    </row>
    <row r="929" customFormat="false" ht="15.75" hidden="false" customHeight="true" outlineLevel="0" collapsed="false">
      <c r="A929" s="2"/>
      <c r="B929" s="2"/>
      <c r="C929" s="2"/>
      <c r="D929" s="2"/>
      <c r="E929" s="2"/>
      <c r="F929" s="2"/>
      <c r="G929" s="2"/>
    </row>
    <row r="930" customFormat="false" ht="15.75" hidden="false" customHeight="true" outlineLevel="0" collapsed="false">
      <c r="A930" s="2"/>
      <c r="B930" s="2"/>
      <c r="C930" s="2"/>
      <c r="D930" s="2"/>
      <c r="E930" s="2"/>
      <c r="F930" s="2"/>
      <c r="G930" s="2"/>
    </row>
    <row r="931" customFormat="false" ht="15.75" hidden="false" customHeight="true" outlineLevel="0" collapsed="false">
      <c r="A931" s="2"/>
      <c r="B931" s="2"/>
      <c r="C931" s="2"/>
      <c r="D931" s="2"/>
      <c r="E931" s="2"/>
      <c r="F931" s="2"/>
      <c r="G931" s="2"/>
    </row>
    <row r="932" customFormat="false" ht="15.75" hidden="false" customHeight="true" outlineLevel="0" collapsed="false">
      <c r="A932" s="2"/>
      <c r="B932" s="2"/>
      <c r="C932" s="2"/>
      <c r="D932" s="2"/>
      <c r="E932" s="2"/>
      <c r="F932" s="2"/>
      <c r="G932" s="2"/>
    </row>
    <row r="933" customFormat="false" ht="15.75" hidden="false" customHeight="true" outlineLevel="0" collapsed="false">
      <c r="A933" s="2"/>
      <c r="B933" s="2"/>
      <c r="C933" s="2"/>
      <c r="D933" s="2"/>
      <c r="E933" s="2"/>
      <c r="F933" s="2"/>
      <c r="G933" s="2"/>
    </row>
    <row r="934" customFormat="false" ht="15.75" hidden="false" customHeight="true" outlineLevel="0" collapsed="false">
      <c r="A934" s="2"/>
      <c r="B934" s="2"/>
      <c r="C934" s="2"/>
      <c r="D934" s="2"/>
      <c r="E934" s="2"/>
      <c r="F934" s="2"/>
      <c r="G934" s="2"/>
    </row>
    <row r="935" customFormat="false" ht="15.75" hidden="false" customHeight="true" outlineLevel="0" collapsed="false">
      <c r="A935" s="2"/>
      <c r="B935" s="2"/>
      <c r="C935" s="2"/>
      <c r="D935" s="2"/>
      <c r="E935" s="2"/>
      <c r="F935" s="2"/>
      <c r="G935" s="2"/>
    </row>
    <row r="936" customFormat="false" ht="15.75" hidden="false" customHeight="true" outlineLevel="0" collapsed="false">
      <c r="A936" s="2"/>
      <c r="B936" s="2"/>
      <c r="C936" s="2"/>
      <c r="D936" s="2"/>
      <c r="E936" s="2"/>
      <c r="F936" s="2"/>
      <c r="G936" s="2"/>
    </row>
    <row r="937" customFormat="false" ht="15.75" hidden="false" customHeight="true" outlineLevel="0" collapsed="false">
      <c r="A937" s="2"/>
      <c r="B937" s="2"/>
      <c r="C937" s="2"/>
      <c r="D937" s="2"/>
      <c r="E937" s="2"/>
      <c r="F937" s="2"/>
      <c r="G937" s="2"/>
    </row>
    <row r="938" customFormat="false" ht="15.75" hidden="false" customHeight="true" outlineLevel="0" collapsed="false">
      <c r="A938" s="2"/>
      <c r="B938" s="2"/>
      <c r="C938" s="2"/>
      <c r="D938" s="2"/>
      <c r="E938" s="2"/>
      <c r="F938" s="2"/>
      <c r="G938" s="2"/>
    </row>
    <row r="939" customFormat="false" ht="15.75" hidden="false" customHeight="true" outlineLevel="0" collapsed="false">
      <c r="A939" s="2"/>
      <c r="B939" s="2"/>
      <c r="C939" s="2"/>
      <c r="D939" s="2"/>
      <c r="E939" s="2"/>
      <c r="F939" s="2"/>
      <c r="G939" s="2"/>
    </row>
    <row r="940" customFormat="false" ht="15.75" hidden="false" customHeight="true" outlineLevel="0" collapsed="false">
      <c r="A940" s="2"/>
      <c r="B940" s="2"/>
      <c r="C940" s="2"/>
      <c r="D940" s="2"/>
      <c r="E940" s="2"/>
      <c r="F940" s="2"/>
      <c r="G940" s="2"/>
    </row>
    <row r="941" customFormat="false" ht="15.75" hidden="false" customHeight="true" outlineLevel="0" collapsed="false">
      <c r="A941" s="2"/>
      <c r="B941" s="2"/>
      <c r="C941" s="2"/>
      <c r="D941" s="2"/>
      <c r="E941" s="2"/>
      <c r="F941" s="2"/>
      <c r="G941" s="2"/>
    </row>
    <row r="942" customFormat="false" ht="15.75" hidden="false" customHeight="true" outlineLevel="0" collapsed="false">
      <c r="A942" s="2"/>
      <c r="B942" s="2"/>
      <c r="C942" s="2"/>
      <c r="D942" s="2"/>
      <c r="E942" s="2"/>
      <c r="F942" s="2"/>
      <c r="G942" s="2"/>
    </row>
    <row r="943" customFormat="false" ht="15.75" hidden="false" customHeight="true" outlineLevel="0" collapsed="false">
      <c r="A943" s="2"/>
      <c r="B943" s="2"/>
      <c r="C943" s="2"/>
      <c r="D943" s="2"/>
      <c r="E943" s="2"/>
      <c r="F943" s="2"/>
      <c r="G943" s="2"/>
    </row>
    <row r="944" customFormat="false" ht="15.75" hidden="false" customHeight="true" outlineLevel="0" collapsed="false">
      <c r="A944" s="2"/>
      <c r="B944" s="2"/>
      <c r="C944" s="2"/>
      <c r="D944" s="2"/>
      <c r="E944" s="2"/>
      <c r="F944" s="2"/>
      <c r="G944" s="2"/>
    </row>
    <row r="945" customFormat="false" ht="15.75" hidden="false" customHeight="true" outlineLevel="0" collapsed="false">
      <c r="A945" s="2"/>
      <c r="B945" s="2"/>
      <c r="C945" s="2"/>
      <c r="D945" s="2"/>
      <c r="E945" s="2"/>
      <c r="F945" s="2"/>
      <c r="G945" s="2"/>
    </row>
    <row r="946" customFormat="false" ht="15.75" hidden="false" customHeight="true" outlineLevel="0" collapsed="false">
      <c r="A946" s="2"/>
      <c r="B946" s="2"/>
      <c r="C946" s="2"/>
      <c r="D946" s="2"/>
      <c r="E946" s="2"/>
      <c r="F946" s="2"/>
      <c r="G946" s="2"/>
    </row>
    <row r="947" customFormat="false" ht="15.75" hidden="false" customHeight="true" outlineLevel="0" collapsed="false">
      <c r="A947" s="2"/>
      <c r="B947" s="2"/>
      <c r="C947" s="2"/>
      <c r="D947" s="2"/>
      <c r="E947" s="2"/>
      <c r="F947" s="2"/>
      <c r="G947" s="2"/>
    </row>
    <row r="948" customFormat="false" ht="15.75" hidden="false" customHeight="true" outlineLevel="0" collapsed="false">
      <c r="A948" s="2"/>
      <c r="B948" s="2"/>
      <c r="C948" s="2"/>
      <c r="D948" s="2"/>
      <c r="E948" s="2"/>
      <c r="F948" s="2"/>
      <c r="G948" s="2"/>
    </row>
    <row r="949" customFormat="false" ht="15.75" hidden="false" customHeight="true" outlineLevel="0" collapsed="false">
      <c r="A949" s="2"/>
      <c r="B949" s="2"/>
      <c r="C949" s="2"/>
      <c r="D949" s="2"/>
      <c r="E949" s="2"/>
      <c r="F949" s="2"/>
      <c r="G949" s="2"/>
    </row>
    <row r="950" customFormat="false" ht="15.75" hidden="false" customHeight="true" outlineLevel="0" collapsed="false">
      <c r="A950" s="2"/>
      <c r="B950" s="2"/>
      <c r="C950" s="2"/>
      <c r="D950" s="2"/>
      <c r="E950" s="2"/>
      <c r="F950" s="2"/>
      <c r="G950" s="2"/>
    </row>
    <row r="951" customFormat="false" ht="15.75" hidden="false" customHeight="true" outlineLevel="0" collapsed="false">
      <c r="A951" s="2"/>
      <c r="B951" s="2"/>
      <c r="C951" s="2"/>
      <c r="D951" s="2"/>
      <c r="E951" s="2"/>
      <c r="F951" s="2"/>
      <c r="G951" s="2"/>
    </row>
    <row r="952" customFormat="false" ht="15.75" hidden="false" customHeight="true" outlineLevel="0" collapsed="false">
      <c r="A952" s="2"/>
      <c r="B952" s="2"/>
      <c r="C952" s="2"/>
      <c r="D952" s="2"/>
      <c r="E952" s="2"/>
      <c r="F952" s="2"/>
      <c r="G952" s="2"/>
    </row>
    <row r="953" customFormat="false" ht="15.75" hidden="false" customHeight="true" outlineLevel="0" collapsed="false">
      <c r="A953" s="2"/>
      <c r="B953" s="2"/>
      <c r="C953" s="2"/>
      <c r="D953" s="2"/>
      <c r="E953" s="2"/>
      <c r="F953" s="2"/>
      <c r="G953" s="2"/>
    </row>
    <row r="954" customFormat="false" ht="15.75" hidden="false" customHeight="true" outlineLevel="0" collapsed="false">
      <c r="A954" s="2"/>
      <c r="B954" s="2"/>
      <c r="C954" s="2"/>
      <c r="D954" s="2"/>
      <c r="E954" s="2"/>
      <c r="F954" s="2"/>
      <c r="G954" s="2"/>
    </row>
    <row r="955" customFormat="false" ht="15.75" hidden="false" customHeight="true" outlineLevel="0" collapsed="false">
      <c r="A955" s="2"/>
      <c r="B955" s="2"/>
      <c r="C955" s="2"/>
      <c r="D955" s="2"/>
      <c r="E955" s="2"/>
      <c r="F955" s="2"/>
      <c r="G955" s="2"/>
    </row>
    <row r="956" customFormat="false" ht="15.75" hidden="false" customHeight="true" outlineLevel="0" collapsed="false">
      <c r="A956" s="2"/>
      <c r="B956" s="2"/>
      <c r="C956" s="2"/>
      <c r="D956" s="2"/>
      <c r="E956" s="2"/>
      <c r="F956" s="2"/>
      <c r="G956" s="2"/>
    </row>
    <row r="957" customFormat="false" ht="15.75" hidden="false" customHeight="true" outlineLevel="0" collapsed="false">
      <c r="A957" s="2"/>
      <c r="B957" s="2"/>
      <c r="C957" s="2"/>
      <c r="D957" s="2"/>
      <c r="E957" s="2"/>
      <c r="F957" s="2"/>
      <c r="G957" s="2"/>
    </row>
    <row r="958" customFormat="false" ht="15.75" hidden="false" customHeight="true" outlineLevel="0" collapsed="false">
      <c r="A958" s="2"/>
      <c r="B958" s="2"/>
      <c r="C958" s="2"/>
      <c r="D958" s="2"/>
      <c r="E958" s="2"/>
      <c r="F958" s="2"/>
      <c r="G958" s="2"/>
    </row>
    <row r="959" customFormat="false" ht="15.75" hidden="false" customHeight="true" outlineLevel="0" collapsed="false">
      <c r="A959" s="2"/>
      <c r="B959" s="2"/>
      <c r="C959" s="2"/>
      <c r="D959" s="2"/>
      <c r="E959" s="2"/>
      <c r="F959" s="2"/>
      <c r="G959" s="2"/>
    </row>
    <row r="960" customFormat="false" ht="15.75" hidden="false" customHeight="true" outlineLevel="0" collapsed="false">
      <c r="A960" s="2"/>
      <c r="B960" s="2"/>
      <c r="C960" s="2"/>
      <c r="D960" s="2"/>
      <c r="E960" s="2"/>
      <c r="F960" s="2"/>
      <c r="G960" s="2"/>
    </row>
    <row r="961" customFormat="false" ht="15.75" hidden="false" customHeight="true" outlineLevel="0" collapsed="false">
      <c r="A961" s="2"/>
      <c r="B961" s="2"/>
      <c r="C961" s="2"/>
      <c r="D961" s="2"/>
      <c r="E961" s="2"/>
      <c r="F961" s="2"/>
      <c r="G961" s="2"/>
    </row>
    <row r="962" customFormat="false" ht="15.75" hidden="false" customHeight="true" outlineLevel="0" collapsed="false">
      <c r="A962" s="2"/>
      <c r="B962" s="2"/>
      <c r="C962" s="2"/>
      <c r="D962" s="2"/>
      <c r="E962" s="2"/>
      <c r="F962" s="2"/>
      <c r="G962" s="2"/>
    </row>
    <row r="963" customFormat="false" ht="15.75" hidden="false" customHeight="true" outlineLevel="0" collapsed="false">
      <c r="A963" s="2"/>
      <c r="B963" s="2"/>
      <c r="C963" s="2"/>
      <c r="D963" s="2"/>
      <c r="E963" s="2"/>
      <c r="F963" s="2"/>
      <c r="G963" s="2"/>
    </row>
    <row r="964" customFormat="false" ht="15.75" hidden="false" customHeight="true" outlineLevel="0" collapsed="false">
      <c r="A964" s="2"/>
      <c r="B964" s="2"/>
      <c r="C964" s="2"/>
      <c r="D964" s="2"/>
      <c r="E964" s="2"/>
      <c r="F964" s="2"/>
      <c r="G964" s="2"/>
    </row>
    <row r="965" customFormat="false" ht="15.75" hidden="false" customHeight="true" outlineLevel="0" collapsed="false">
      <c r="A965" s="2"/>
      <c r="B965" s="2"/>
      <c r="C965" s="2"/>
      <c r="D965" s="2"/>
      <c r="E965" s="2"/>
      <c r="F965" s="2"/>
      <c r="G965" s="2"/>
    </row>
    <row r="966" customFormat="false" ht="15.75" hidden="false" customHeight="true" outlineLevel="0" collapsed="false">
      <c r="A966" s="2"/>
      <c r="B966" s="2"/>
      <c r="C966" s="2"/>
      <c r="D966" s="2"/>
      <c r="E966" s="2"/>
      <c r="F966" s="2"/>
      <c r="G966" s="2"/>
    </row>
    <row r="967" customFormat="false" ht="15.75" hidden="false" customHeight="true" outlineLevel="0" collapsed="false">
      <c r="A967" s="2"/>
      <c r="B967" s="2"/>
      <c r="C967" s="2"/>
      <c r="D967" s="2"/>
      <c r="E967" s="2"/>
      <c r="F967" s="2"/>
      <c r="G967" s="2"/>
    </row>
    <row r="968" customFormat="false" ht="15.75" hidden="false" customHeight="true" outlineLevel="0" collapsed="false">
      <c r="A968" s="2"/>
      <c r="B968" s="2"/>
      <c r="C968" s="2"/>
      <c r="D968" s="2"/>
      <c r="E968" s="2"/>
      <c r="F968" s="2"/>
      <c r="G968" s="2"/>
    </row>
    <row r="969" customFormat="false" ht="15.75" hidden="false" customHeight="true" outlineLevel="0" collapsed="false">
      <c r="A969" s="2"/>
      <c r="B969" s="2"/>
      <c r="C969" s="2"/>
      <c r="D969" s="2"/>
      <c r="E969" s="2"/>
      <c r="F969" s="2"/>
      <c r="G969" s="2"/>
    </row>
    <row r="970" customFormat="false" ht="15.75" hidden="false" customHeight="true" outlineLevel="0" collapsed="false">
      <c r="A970" s="2"/>
      <c r="B970" s="2"/>
      <c r="C970" s="2"/>
      <c r="D970" s="2"/>
      <c r="E970" s="2"/>
      <c r="F970" s="2"/>
      <c r="G970" s="2"/>
    </row>
    <row r="971" customFormat="false" ht="15.75" hidden="false" customHeight="true" outlineLevel="0" collapsed="false">
      <c r="A971" s="2"/>
      <c r="B971" s="2"/>
      <c r="C971" s="2"/>
      <c r="D971" s="2"/>
      <c r="E971" s="2"/>
      <c r="F971" s="2"/>
      <c r="G971" s="2"/>
    </row>
    <row r="972" customFormat="false" ht="15.75" hidden="false" customHeight="true" outlineLevel="0" collapsed="false">
      <c r="A972" s="2"/>
      <c r="B972" s="2"/>
      <c r="C972" s="2"/>
      <c r="D972" s="2"/>
      <c r="E972" s="2"/>
      <c r="F972" s="2"/>
      <c r="G972" s="2"/>
    </row>
    <row r="973" customFormat="false" ht="15.75" hidden="false" customHeight="true" outlineLevel="0" collapsed="false">
      <c r="A973" s="2"/>
      <c r="B973" s="2"/>
      <c r="C973" s="2"/>
      <c r="D973" s="2"/>
      <c r="E973" s="2"/>
      <c r="F973" s="2"/>
      <c r="G973" s="2"/>
    </row>
    <row r="974" customFormat="false" ht="15.75" hidden="false" customHeight="true" outlineLevel="0" collapsed="false">
      <c r="A974" s="2"/>
      <c r="B974" s="2"/>
      <c r="C974" s="2"/>
      <c r="D974" s="2"/>
      <c r="E974" s="2"/>
      <c r="F974" s="2"/>
      <c r="G974" s="2"/>
    </row>
    <row r="975" customFormat="false" ht="15.75" hidden="false" customHeight="true" outlineLevel="0" collapsed="false">
      <c r="A975" s="2"/>
      <c r="B975" s="2"/>
      <c r="C975" s="2"/>
      <c r="D975" s="2"/>
      <c r="E975" s="2"/>
      <c r="F975" s="2"/>
      <c r="G975" s="2"/>
    </row>
    <row r="976" customFormat="false" ht="15.75" hidden="false" customHeight="true" outlineLevel="0" collapsed="false">
      <c r="A976" s="2"/>
      <c r="B976" s="2"/>
      <c r="C976" s="2"/>
      <c r="D976" s="2"/>
      <c r="E976" s="2"/>
      <c r="F976" s="2"/>
      <c r="G976" s="2"/>
    </row>
    <row r="977" customFormat="false" ht="15.75" hidden="false" customHeight="true" outlineLevel="0" collapsed="false">
      <c r="A977" s="2"/>
      <c r="B977" s="2"/>
      <c r="C977" s="2"/>
      <c r="D977" s="2"/>
      <c r="E977" s="2"/>
      <c r="F977" s="2"/>
      <c r="G977" s="2"/>
    </row>
    <row r="978" customFormat="false" ht="15.75" hidden="false" customHeight="true" outlineLevel="0" collapsed="false">
      <c r="A978" s="2"/>
      <c r="B978" s="2"/>
      <c r="C978" s="2"/>
      <c r="D978" s="2"/>
      <c r="E978" s="2"/>
      <c r="F978" s="2"/>
      <c r="G978" s="2"/>
    </row>
    <row r="979" customFormat="false" ht="15.75" hidden="false" customHeight="true" outlineLevel="0" collapsed="false">
      <c r="A979" s="2"/>
      <c r="B979" s="2"/>
      <c r="C979" s="2"/>
      <c r="D979" s="2"/>
      <c r="E979" s="2"/>
      <c r="F979" s="2"/>
      <c r="G979" s="2"/>
    </row>
    <row r="980" customFormat="false" ht="15.75" hidden="false" customHeight="true" outlineLevel="0" collapsed="false">
      <c r="A980" s="2"/>
      <c r="B980" s="2"/>
      <c r="C980" s="2"/>
      <c r="D980" s="2"/>
      <c r="E980" s="2"/>
      <c r="F980" s="2"/>
      <c r="G980" s="2"/>
    </row>
    <row r="981" customFormat="false" ht="15.75" hidden="false" customHeight="true" outlineLevel="0" collapsed="false">
      <c r="A981" s="2"/>
      <c r="B981" s="2"/>
      <c r="C981" s="2"/>
      <c r="D981" s="2"/>
      <c r="E981" s="2"/>
      <c r="F981" s="2"/>
      <c r="G981" s="2"/>
    </row>
    <row r="982" customFormat="false" ht="15.75" hidden="false" customHeight="true" outlineLevel="0" collapsed="false">
      <c r="A982" s="2"/>
      <c r="B982" s="2"/>
      <c r="C982" s="2"/>
      <c r="D982" s="2"/>
      <c r="E982" s="2"/>
      <c r="F982" s="2"/>
      <c r="G982" s="2"/>
    </row>
    <row r="983" customFormat="false" ht="15.75" hidden="false" customHeight="true" outlineLevel="0" collapsed="false">
      <c r="A983" s="2"/>
      <c r="B983" s="2"/>
      <c r="C983" s="2"/>
      <c r="D983" s="2"/>
      <c r="E983" s="2"/>
      <c r="F983" s="2"/>
      <c r="G983" s="2"/>
    </row>
    <row r="984" customFormat="false" ht="15.75" hidden="false" customHeight="true" outlineLevel="0" collapsed="false">
      <c r="A984" s="2"/>
      <c r="B984" s="2"/>
      <c r="C984" s="2"/>
      <c r="D984" s="2"/>
      <c r="E984" s="2"/>
      <c r="F984" s="2"/>
      <c r="G984" s="2"/>
    </row>
    <row r="985" customFormat="false" ht="15.75" hidden="false" customHeight="true" outlineLevel="0" collapsed="false">
      <c r="A985" s="2"/>
      <c r="B985" s="2"/>
      <c r="C985" s="2"/>
      <c r="D985" s="2"/>
      <c r="E985" s="2"/>
      <c r="F985" s="2"/>
      <c r="G985" s="2"/>
    </row>
    <row r="986" customFormat="false" ht="15.75" hidden="false" customHeight="true" outlineLevel="0" collapsed="false">
      <c r="A986" s="2"/>
      <c r="B986" s="2"/>
      <c r="C986" s="2"/>
      <c r="D986" s="2"/>
      <c r="E986" s="2"/>
      <c r="F986" s="2"/>
      <c r="G986" s="2"/>
    </row>
    <row r="987" customFormat="false" ht="15.75" hidden="false" customHeight="true" outlineLevel="0" collapsed="false">
      <c r="A987" s="2"/>
      <c r="B987" s="2"/>
      <c r="C987" s="2"/>
      <c r="D987" s="2"/>
      <c r="E987" s="2"/>
      <c r="F987" s="2"/>
      <c r="G987" s="2"/>
    </row>
    <row r="988" customFormat="false" ht="15.75" hidden="false" customHeight="true" outlineLevel="0" collapsed="false">
      <c r="A988" s="2"/>
      <c r="B988" s="2"/>
      <c r="C988" s="2"/>
      <c r="D988" s="2"/>
      <c r="E988" s="2"/>
      <c r="F988" s="2"/>
      <c r="G988" s="2"/>
    </row>
    <row r="989" customFormat="false" ht="15.75" hidden="false" customHeight="true" outlineLevel="0" collapsed="false">
      <c r="A989" s="2"/>
      <c r="B989" s="2"/>
      <c r="C989" s="2"/>
      <c r="D989" s="2"/>
      <c r="E989" s="2"/>
      <c r="F989" s="2"/>
      <c r="G989" s="2"/>
    </row>
    <row r="990" customFormat="false" ht="15.75" hidden="false" customHeight="true" outlineLevel="0" collapsed="false">
      <c r="A990" s="2"/>
      <c r="B990" s="2"/>
      <c r="C990" s="2"/>
      <c r="D990" s="2"/>
      <c r="E990" s="2"/>
      <c r="F990" s="2"/>
      <c r="G990" s="2"/>
    </row>
    <row r="991" customFormat="false" ht="15.75" hidden="false" customHeight="true" outlineLevel="0" collapsed="false">
      <c r="A991" s="2"/>
      <c r="B991" s="2"/>
      <c r="C991" s="2"/>
      <c r="D991" s="2"/>
      <c r="E991" s="2"/>
      <c r="F991" s="2"/>
      <c r="G991" s="2"/>
    </row>
    <row r="992" customFormat="false" ht="15.75" hidden="false" customHeight="true" outlineLevel="0" collapsed="false">
      <c r="A992" s="2"/>
      <c r="B992" s="2"/>
      <c r="C992" s="2"/>
      <c r="D992" s="2"/>
      <c r="E992" s="2"/>
      <c r="F992" s="2"/>
      <c r="G992" s="2"/>
    </row>
    <row r="993" customFormat="false" ht="15.75" hidden="false" customHeight="true" outlineLevel="0" collapsed="false">
      <c r="A993" s="2"/>
      <c r="B993" s="2"/>
      <c r="C993" s="2"/>
      <c r="D993" s="2"/>
      <c r="E993" s="2"/>
      <c r="F993" s="2"/>
      <c r="G993" s="2"/>
    </row>
    <row r="994" customFormat="false" ht="15.75" hidden="false" customHeight="true" outlineLevel="0" collapsed="false">
      <c r="A994" s="2"/>
      <c r="B994" s="2"/>
      <c r="C994" s="2"/>
      <c r="D994" s="2"/>
      <c r="E994" s="2"/>
      <c r="F994" s="2"/>
      <c r="G994" s="2"/>
    </row>
    <row r="995" customFormat="false" ht="15.75" hidden="false" customHeight="true" outlineLevel="0" collapsed="false">
      <c r="A995" s="2"/>
      <c r="B995" s="2"/>
      <c r="C995" s="2"/>
      <c r="D995" s="2"/>
      <c r="E995" s="2"/>
      <c r="F995" s="2"/>
      <c r="G995" s="2"/>
    </row>
    <row r="996" customFormat="false" ht="15.75" hidden="false" customHeight="true" outlineLevel="0" collapsed="false">
      <c r="A996" s="2"/>
      <c r="B996" s="2"/>
      <c r="C996" s="2"/>
      <c r="D996" s="2"/>
      <c r="E996" s="2"/>
      <c r="F996" s="2"/>
      <c r="G996" s="2"/>
    </row>
    <row r="997" customFormat="false" ht="15.75" hidden="false" customHeight="true" outlineLevel="0" collapsed="false">
      <c r="A997" s="2"/>
      <c r="B997" s="2"/>
      <c r="C997" s="2"/>
      <c r="D997" s="2"/>
      <c r="E997" s="2"/>
      <c r="F997" s="2"/>
      <c r="G997" s="2"/>
    </row>
    <row r="998" customFormat="false" ht="15.75" hidden="false" customHeight="true" outlineLevel="0" collapsed="false">
      <c r="A998" s="2"/>
      <c r="B998" s="2"/>
      <c r="C998" s="2"/>
      <c r="D998" s="2"/>
      <c r="E998" s="2"/>
      <c r="F998" s="2"/>
      <c r="G998" s="2"/>
    </row>
    <row r="999" customFormat="false" ht="15.75" hidden="false" customHeight="true" outlineLevel="0" collapsed="false">
      <c r="A999" s="2"/>
      <c r="B999" s="2"/>
      <c r="C999" s="2"/>
      <c r="D999" s="2"/>
      <c r="E999" s="2"/>
      <c r="F999" s="2"/>
      <c r="G999" s="2"/>
    </row>
    <row r="1000" customFormat="false" ht="15.75" hidden="false" customHeight="true" outlineLevel="0" collapsed="false">
      <c r="A1000" s="2"/>
      <c r="B1000" s="2"/>
      <c r="C1000" s="2"/>
      <c r="D1000" s="2"/>
      <c r="E1000" s="2"/>
      <c r="F1000" s="2"/>
      <c r="G1000" s="2"/>
    </row>
  </sheetData>
  <mergeCells count="7">
    <mergeCell ref="B2:G2"/>
    <mergeCell ref="C4:G4"/>
    <mergeCell ref="C5:G5"/>
    <mergeCell ref="C6:G6"/>
    <mergeCell ref="C7:G7"/>
    <mergeCell ref="C8:G8"/>
    <mergeCell ref="B10:G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12"/>
    <col collapsed="false" customWidth="true" hidden="false" outlineLevel="0" max="4" min="4" style="1" width="58"/>
    <col collapsed="false" customWidth="true" hidden="false" outlineLevel="0" max="5" min="5" style="1" width="34"/>
    <col collapsed="false" customWidth="true" hidden="false" outlineLevel="0" max="6" min="6" style="1" width="18"/>
    <col collapsed="false" customWidth="true" hidden="false" outlineLevel="0" max="26" min="7" style="1" width="8.71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9.7" hidden="false" customHeight="false" outlineLevel="0" collapsed="false">
      <c r="A2" s="2"/>
      <c r="B2" s="19" t="s">
        <v>152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2"/>
      <c r="B4" s="4" t="s">
        <v>77</v>
      </c>
      <c r="C4" s="20" t="s">
        <v>153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15" hidden="false" customHeight="false" outlineLevel="0" collapsed="false">
      <c r="A5" s="2"/>
      <c r="B5" s="4" t="s">
        <v>79</v>
      </c>
      <c r="C5" s="20" t="s">
        <v>154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15" hidden="false" customHeight="false" outlineLevel="0" collapsed="false">
      <c r="A6" s="2"/>
      <c r="B6" s="4" t="s">
        <v>81</v>
      </c>
      <c r="C6" s="20" t="s">
        <v>82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15" hidden="false" customHeight="false" outlineLevel="0" collapsed="false">
      <c r="A7" s="2"/>
      <c r="B7" s="4" t="s">
        <v>155</v>
      </c>
      <c r="C7" s="20" t="s">
        <v>156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15" hidden="false" customHeight="false" outlineLevel="0" collapsed="false">
      <c r="A8" s="2"/>
      <c r="B8" s="4" t="s">
        <v>157</v>
      </c>
      <c r="C8" s="20" t="s">
        <v>158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1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15" hidden="false" customHeight="false" outlineLevel="0" collapsed="false">
      <c r="A10" s="2"/>
      <c r="B10" s="15" t="s">
        <v>159</v>
      </c>
      <c r="C10" s="15"/>
      <c r="D10" s="15"/>
      <c r="E10" s="15"/>
      <c r="F10" s="15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15" hidden="false" customHeight="false" outlineLevel="0" collapsed="false">
      <c r="A11" s="2"/>
      <c r="B11" s="16" t="s">
        <v>16</v>
      </c>
      <c r="C11" s="16" t="s">
        <v>160</v>
      </c>
      <c r="D11" s="16" t="s">
        <v>161</v>
      </c>
      <c r="E11" s="16" t="s">
        <v>162</v>
      </c>
      <c r="F11" s="16" t="s">
        <v>163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21.75" hidden="false" customHeight="true" outlineLevel="0" collapsed="false">
      <c r="B12" s="15" t="s">
        <v>164</v>
      </c>
      <c r="C12" s="15"/>
      <c r="D12" s="15"/>
      <c r="E12" s="15"/>
      <c r="F12" s="15"/>
    </row>
    <row r="13" customFormat="false" ht="42" hidden="false" customHeight="true" outlineLevel="0" collapsed="false">
      <c r="B13" s="21" t="n">
        <v>1</v>
      </c>
      <c r="C13" s="21" t="s">
        <v>91</v>
      </c>
      <c r="D13" s="22" t="s">
        <v>93</v>
      </c>
      <c r="E13" s="22" t="s">
        <v>165</v>
      </c>
      <c r="F13" s="21"/>
    </row>
    <row r="14" customFormat="false" ht="30" hidden="false" customHeight="true" outlineLevel="0" collapsed="false">
      <c r="B14" s="9" t="n">
        <v>1</v>
      </c>
      <c r="C14" s="9" t="s">
        <v>166</v>
      </c>
      <c r="D14" s="17" t="s">
        <v>167</v>
      </c>
      <c r="E14" s="17" t="s">
        <v>168</v>
      </c>
      <c r="F14" s="8" t="n">
        <v>150000</v>
      </c>
    </row>
    <row r="15" customFormat="false" ht="30" hidden="false" customHeight="true" outlineLevel="0" collapsed="false">
      <c r="B15" s="9" t="n">
        <v>2</v>
      </c>
      <c r="C15" s="9" t="s">
        <v>169</v>
      </c>
      <c r="D15" s="17" t="s">
        <v>170</v>
      </c>
      <c r="E15" s="17" t="s">
        <v>171</v>
      </c>
      <c r="F15" s="8" t="n">
        <v>35000</v>
      </c>
    </row>
    <row r="16" customFormat="false" ht="15" hidden="false" customHeight="true" outlineLevel="0" collapsed="false">
      <c r="B16" s="9" t="n">
        <v>3</v>
      </c>
      <c r="C16" s="9" t="s">
        <v>172</v>
      </c>
      <c r="D16" s="17" t="s">
        <v>173</v>
      </c>
      <c r="E16" s="17" t="s">
        <v>174</v>
      </c>
      <c r="F16" s="8" t="n">
        <v>20000</v>
      </c>
    </row>
    <row r="17" customFormat="false" ht="30" hidden="false" customHeight="true" outlineLevel="0" collapsed="false">
      <c r="B17" s="9" t="n">
        <v>4</v>
      </c>
      <c r="C17" s="9" t="s">
        <v>175</v>
      </c>
      <c r="D17" s="17" t="s">
        <v>176</v>
      </c>
      <c r="E17" s="17" t="s">
        <v>177</v>
      </c>
      <c r="F17" s="8" t="n">
        <v>85000</v>
      </c>
    </row>
    <row r="18" customFormat="false" ht="30" hidden="false" customHeight="true" outlineLevel="0" collapsed="false">
      <c r="B18" s="9" t="n">
        <v>5</v>
      </c>
      <c r="C18" s="9" t="s">
        <v>178</v>
      </c>
      <c r="D18" s="17" t="s">
        <v>179</v>
      </c>
      <c r="E18" s="17" t="s">
        <v>180</v>
      </c>
      <c r="F18" s="8" t="n">
        <v>30000</v>
      </c>
    </row>
    <row r="19" customFormat="false" ht="15" hidden="false" customHeight="true" outlineLevel="0" collapsed="false">
      <c r="B19" s="9" t="n">
        <v>6</v>
      </c>
      <c r="C19" s="9" t="s">
        <v>181</v>
      </c>
      <c r="D19" s="17" t="s">
        <v>182</v>
      </c>
      <c r="E19" s="17" t="s">
        <v>183</v>
      </c>
      <c r="F19" s="8" t="n">
        <v>20000</v>
      </c>
    </row>
    <row r="20" customFormat="false" ht="15" hidden="false" customHeight="true" outlineLevel="0" collapsed="false">
      <c r="B20" s="9" t="n">
        <v>7</v>
      </c>
      <c r="C20" s="9" t="s">
        <v>184</v>
      </c>
      <c r="D20" s="17" t="s">
        <v>185</v>
      </c>
      <c r="E20" s="17" t="s">
        <v>186</v>
      </c>
      <c r="F20" s="8" t="n">
        <v>12000</v>
      </c>
    </row>
    <row r="21" customFormat="false" ht="15" hidden="false" customHeight="true" outlineLevel="0" collapsed="false">
      <c r="B21" s="23"/>
      <c r="C21" s="23"/>
      <c r="D21" s="23" t="s">
        <v>187</v>
      </c>
      <c r="E21" s="23" t="s">
        <v>188</v>
      </c>
      <c r="F21" s="11" t="n">
        <f aca="false">SUM(F14:F20)</f>
        <v>352000</v>
      </c>
    </row>
    <row r="22" customFormat="false" ht="15" hidden="false" customHeight="true" outlineLevel="0" collapsed="false">
      <c r="B22" s="21" t="n">
        <v>2</v>
      </c>
      <c r="C22" s="21" t="s">
        <v>95</v>
      </c>
      <c r="D22" s="22" t="s">
        <v>96</v>
      </c>
      <c r="E22" s="22" t="s">
        <v>165</v>
      </c>
      <c r="F22" s="21"/>
    </row>
    <row r="23" customFormat="false" ht="30" hidden="false" customHeight="true" outlineLevel="0" collapsed="false">
      <c r="B23" s="9" t="n">
        <v>1</v>
      </c>
      <c r="C23" s="9" t="s">
        <v>189</v>
      </c>
      <c r="D23" s="17" t="s">
        <v>190</v>
      </c>
      <c r="E23" s="17" t="s">
        <v>191</v>
      </c>
      <c r="F23" s="8" t="n">
        <v>82000</v>
      </c>
    </row>
    <row r="24" customFormat="false" ht="15" hidden="false" customHeight="true" outlineLevel="0" collapsed="false">
      <c r="B24" s="9" t="n">
        <v>2</v>
      </c>
      <c r="C24" s="9" t="s">
        <v>192</v>
      </c>
      <c r="D24" s="17" t="s">
        <v>193</v>
      </c>
      <c r="E24" s="17" t="s">
        <v>194</v>
      </c>
      <c r="F24" s="8" t="n">
        <v>6000</v>
      </c>
    </row>
    <row r="25" customFormat="false" ht="15" hidden="false" customHeight="true" outlineLevel="0" collapsed="false">
      <c r="B25" s="9" t="n">
        <v>3</v>
      </c>
      <c r="C25" s="9" t="s">
        <v>195</v>
      </c>
      <c r="D25" s="17" t="s">
        <v>196</v>
      </c>
      <c r="E25" s="17" t="s">
        <v>197</v>
      </c>
      <c r="F25" s="8" t="n">
        <v>7000</v>
      </c>
    </row>
    <row r="26" customFormat="false" ht="15" hidden="false" customHeight="true" outlineLevel="0" collapsed="false">
      <c r="B26" s="9" t="n">
        <v>4</v>
      </c>
      <c r="C26" s="9" t="s">
        <v>198</v>
      </c>
      <c r="D26" s="17" t="s">
        <v>199</v>
      </c>
      <c r="E26" s="17" t="s">
        <v>200</v>
      </c>
      <c r="F26" s="8" t="n">
        <v>3000</v>
      </c>
    </row>
    <row r="27" customFormat="false" ht="15" hidden="false" customHeight="true" outlineLevel="0" collapsed="false">
      <c r="B27" s="9" t="n">
        <v>5</v>
      </c>
      <c r="C27" s="9" t="s">
        <v>201</v>
      </c>
      <c r="D27" s="17" t="s">
        <v>202</v>
      </c>
      <c r="E27" s="17" t="s">
        <v>203</v>
      </c>
      <c r="F27" s="8" t="n">
        <v>2000</v>
      </c>
    </row>
    <row r="28" customFormat="false" ht="15" hidden="false" customHeight="true" outlineLevel="0" collapsed="false">
      <c r="B28" s="23"/>
      <c r="C28" s="23"/>
      <c r="D28" s="23" t="s">
        <v>204</v>
      </c>
      <c r="E28" s="23" t="s">
        <v>205</v>
      </c>
      <c r="F28" s="11" t="n">
        <f aca="false">SUM(F23:F27)</f>
        <v>100000</v>
      </c>
    </row>
    <row r="29" customFormat="false" ht="15" hidden="false" customHeight="true" outlineLevel="0" collapsed="false">
      <c r="B29" s="21" t="n">
        <v>3</v>
      </c>
      <c r="C29" s="21" t="s">
        <v>97</v>
      </c>
      <c r="D29" s="22" t="s">
        <v>98</v>
      </c>
      <c r="E29" s="22" t="s">
        <v>165</v>
      </c>
      <c r="F29" s="21"/>
    </row>
    <row r="30" customFormat="false" ht="15" hidden="false" customHeight="true" outlineLevel="0" collapsed="false">
      <c r="B30" s="9" t="n">
        <v>1</v>
      </c>
      <c r="C30" s="9" t="s">
        <v>206</v>
      </c>
      <c r="D30" s="17" t="s">
        <v>207</v>
      </c>
      <c r="E30" s="17" t="s">
        <v>208</v>
      </c>
      <c r="F30" s="8" t="n">
        <v>20000</v>
      </c>
    </row>
    <row r="31" customFormat="false" ht="15" hidden="false" customHeight="true" outlineLevel="0" collapsed="false">
      <c r="B31" s="9" t="n">
        <v>2</v>
      </c>
      <c r="C31" s="9" t="s">
        <v>209</v>
      </c>
      <c r="D31" s="17" t="s">
        <v>210</v>
      </c>
      <c r="E31" s="17" t="s">
        <v>200</v>
      </c>
      <c r="F31" s="8" t="n">
        <v>2000</v>
      </c>
    </row>
    <row r="32" customFormat="false" ht="15" hidden="false" customHeight="true" outlineLevel="0" collapsed="false">
      <c r="B32" s="9" t="n">
        <v>3</v>
      </c>
      <c r="C32" s="9" t="s">
        <v>211</v>
      </c>
      <c r="D32" s="17" t="s">
        <v>212</v>
      </c>
      <c r="E32" s="17" t="s">
        <v>197</v>
      </c>
      <c r="F32" s="8" t="n">
        <v>4000</v>
      </c>
    </row>
    <row r="33" customFormat="false" ht="15" hidden="false" customHeight="true" outlineLevel="0" collapsed="false">
      <c r="B33" s="9" t="n">
        <v>4</v>
      </c>
      <c r="C33" s="9" t="s">
        <v>213</v>
      </c>
      <c r="D33" s="17" t="s">
        <v>214</v>
      </c>
      <c r="E33" s="17" t="s">
        <v>200</v>
      </c>
      <c r="F33" s="8" t="n">
        <v>1000</v>
      </c>
    </row>
    <row r="34" customFormat="false" ht="15" hidden="false" customHeight="true" outlineLevel="0" collapsed="false">
      <c r="B34" s="9" t="n">
        <v>5</v>
      </c>
      <c r="C34" s="9" t="s">
        <v>215</v>
      </c>
      <c r="D34" s="17" t="s">
        <v>202</v>
      </c>
      <c r="E34" s="17" t="s">
        <v>216</v>
      </c>
      <c r="F34" s="8" t="n">
        <v>1000</v>
      </c>
    </row>
    <row r="35" customFormat="false" ht="15" hidden="false" customHeight="true" outlineLevel="0" collapsed="false">
      <c r="B35" s="23"/>
      <c r="C35" s="23"/>
      <c r="D35" s="23" t="s">
        <v>217</v>
      </c>
      <c r="E35" s="23" t="s">
        <v>218</v>
      </c>
      <c r="F35" s="11" t="n">
        <f aca="false">SUM(F30:F34)</f>
        <v>28000</v>
      </c>
    </row>
    <row r="36" customFormat="false" ht="15" hidden="false" customHeight="true" outlineLevel="0" collapsed="false">
      <c r="B36" s="21" t="n">
        <v>4</v>
      </c>
      <c r="C36" s="21" t="s">
        <v>99</v>
      </c>
      <c r="D36" s="22" t="s">
        <v>100</v>
      </c>
      <c r="E36" s="22" t="s">
        <v>165</v>
      </c>
      <c r="F36" s="21"/>
    </row>
    <row r="37" customFormat="false" ht="30" hidden="false" customHeight="true" outlineLevel="0" collapsed="false">
      <c r="B37" s="9" t="n">
        <v>1</v>
      </c>
      <c r="C37" s="9" t="s">
        <v>219</v>
      </c>
      <c r="D37" s="17" t="s">
        <v>220</v>
      </c>
      <c r="E37" s="17" t="s">
        <v>221</v>
      </c>
      <c r="F37" s="8" t="n">
        <v>12000</v>
      </c>
    </row>
    <row r="38" customFormat="false" ht="15" hidden="false" customHeight="true" outlineLevel="0" collapsed="false">
      <c r="B38" s="9" t="n">
        <v>2</v>
      </c>
      <c r="C38" s="9" t="s">
        <v>222</v>
      </c>
      <c r="D38" s="17" t="s">
        <v>223</v>
      </c>
      <c r="E38" s="17" t="s">
        <v>224</v>
      </c>
      <c r="F38" s="8" t="n">
        <v>8000</v>
      </c>
    </row>
    <row r="39" customFormat="false" ht="15" hidden="false" customHeight="true" outlineLevel="0" collapsed="false">
      <c r="B39" s="9" t="n">
        <v>3</v>
      </c>
      <c r="C39" s="9" t="s">
        <v>225</v>
      </c>
      <c r="D39" s="17" t="s">
        <v>226</v>
      </c>
      <c r="E39" s="17" t="s">
        <v>197</v>
      </c>
      <c r="F39" s="8" t="n">
        <v>18000</v>
      </c>
    </row>
    <row r="40" customFormat="false" ht="15" hidden="false" customHeight="true" outlineLevel="0" collapsed="false">
      <c r="B40" s="9" t="n">
        <v>4</v>
      </c>
      <c r="C40" s="9" t="s">
        <v>227</v>
      </c>
      <c r="D40" s="17" t="s">
        <v>228</v>
      </c>
      <c r="E40" s="17" t="s">
        <v>200</v>
      </c>
      <c r="F40" s="8" t="n">
        <v>4000</v>
      </c>
    </row>
    <row r="41" customFormat="false" ht="15" hidden="false" customHeight="true" outlineLevel="0" collapsed="false">
      <c r="B41" s="9" t="n">
        <v>5</v>
      </c>
      <c r="C41" s="9" t="s">
        <v>229</v>
      </c>
      <c r="D41" s="17" t="s">
        <v>202</v>
      </c>
      <c r="E41" s="17" t="s">
        <v>230</v>
      </c>
      <c r="F41" s="8" t="n">
        <v>3000</v>
      </c>
    </row>
    <row r="42" customFormat="false" ht="15" hidden="false" customHeight="true" outlineLevel="0" collapsed="false">
      <c r="B42" s="23"/>
      <c r="C42" s="23"/>
      <c r="D42" s="23" t="s">
        <v>231</v>
      </c>
      <c r="E42" s="23" t="s">
        <v>232</v>
      </c>
      <c r="F42" s="11" t="n">
        <f aca="false">SUM(F37:F41)</f>
        <v>45000</v>
      </c>
    </row>
    <row r="43" customFormat="false" ht="30" hidden="false" customHeight="true" outlineLevel="0" collapsed="false">
      <c r="B43" s="21" t="n">
        <v>5</v>
      </c>
      <c r="C43" s="21" t="s">
        <v>101</v>
      </c>
      <c r="D43" s="22" t="s">
        <v>102</v>
      </c>
      <c r="E43" s="22" t="s">
        <v>165</v>
      </c>
      <c r="F43" s="21"/>
    </row>
    <row r="44" customFormat="false" ht="30" hidden="false" customHeight="true" outlineLevel="0" collapsed="false">
      <c r="B44" s="9" t="n">
        <v>1</v>
      </c>
      <c r="C44" s="9" t="s">
        <v>233</v>
      </c>
      <c r="D44" s="17" t="s">
        <v>234</v>
      </c>
      <c r="E44" s="17" t="s">
        <v>235</v>
      </c>
      <c r="F44" s="8" t="n">
        <v>20000</v>
      </c>
    </row>
    <row r="45" customFormat="false" ht="15" hidden="false" customHeight="true" outlineLevel="0" collapsed="false">
      <c r="B45" s="9" t="n">
        <v>2</v>
      </c>
      <c r="C45" s="9" t="s">
        <v>236</v>
      </c>
      <c r="D45" s="17" t="s">
        <v>237</v>
      </c>
      <c r="E45" s="17" t="s">
        <v>238</v>
      </c>
      <c r="F45" s="8" t="n">
        <v>3000</v>
      </c>
    </row>
    <row r="46" customFormat="false" ht="15" hidden="false" customHeight="true" outlineLevel="0" collapsed="false">
      <c r="B46" s="9" t="n">
        <v>3</v>
      </c>
      <c r="C46" s="9" t="s">
        <v>239</v>
      </c>
      <c r="D46" s="17" t="s">
        <v>240</v>
      </c>
      <c r="E46" s="17" t="s">
        <v>197</v>
      </c>
      <c r="F46" s="8" t="n">
        <v>28000</v>
      </c>
    </row>
    <row r="47" customFormat="false" ht="15" hidden="false" customHeight="true" outlineLevel="0" collapsed="false">
      <c r="B47" s="9" t="n">
        <v>4</v>
      </c>
      <c r="C47" s="9" t="s">
        <v>241</v>
      </c>
      <c r="D47" s="17" t="s">
        <v>242</v>
      </c>
      <c r="E47" s="17" t="s">
        <v>243</v>
      </c>
      <c r="F47" s="8" t="n">
        <v>14000</v>
      </c>
    </row>
    <row r="48" customFormat="false" ht="15" hidden="false" customHeight="true" outlineLevel="0" collapsed="false">
      <c r="B48" s="9" t="n">
        <v>5</v>
      </c>
      <c r="C48" s="9" t="s">
        <v>244</v>
      </c>
      <c r="D48" s="17" t="s">
        <v>202</v>
      </c>
      <c r="E48" s="17" t="s">
        <v>245</v>
      </c>
      <c r="F48" s="8" t="n">
        <v>10000</v>
      </c>
    </row>
    <row r="49" customFormat="false" ht="15" hidden="false" customHeight="true" outlineLevel="0" collapsed="false">
      <c r="B49" s="23"/>
      <c r="C49" s="23"/>
      <c r="D49" s="23" t="s">
        <v>246</v>
      </c>
      <c r="E49" s="23" t="s">
        <v>247</v>
      </c>
      <c r="F49" s="11" t="n">
        <f aca="false">SUM(F44:F48)</f>
        <v>75000</v>
      </c>
    </row>
    <row r="50" customFormat="false" ht="42" hidden="false" customHeight="true" outlineLevel="0" collapsed="false">
      <c r="B50" s="21" t="n">
        <v>6</v>
      </c>
      <c r="C50" s="21" t="s">
        <v>103</v>
      </c>
      <c r="D50" s="22" t="s">
        <v>104</v>
      </c>
      <c r="E50" s="22" t="s">
        <v>248</v>
      </c>
      <c r="F50" s="21"/>
    </row>
    <row r="51" customFormat="false" ht="30" hidden="false" customHeight="true" outlineLevel="0" collapsed="false">
      <c r="B51" s="9" t="n">
        <v>1</v>
      </c>
      <c r="C51" s="9" t="s">
        <v>249</v>
      </c>
      <c r="D51" s="17" t="s">
        <v>167</v>
      </c>
      <c r="E51" s="17" t="s">
        <v>168</v>
      </c>
      <c r="F51" s="8" t="n">
        <v>150000</v>
      </c>
    </row>
    <row r="52" customFormat="false" ht="30" hidden="false" customHeight="true" outlineLevel="0" collapsed="false">
      <c r="B52" s="9" t="n">
        <v>2</v>
      </c>
      <c r="C52" s="9" t="s">
        <v>250</v>
      </c>
      <c r="D52" s="17" t="s">
        <v>170</v>
      </c>
      <c r="E52" s="17" t="s">
        <v>171</v>
      </c>
      <c r="F52" s="8" t="n">
        <v>35000</v>
      </c>
    </row>
    <row r="53" customFormat="false" ht="15" hidden="false" customHeight="true" outlineLevel="0" collapsed="false">
      <c r="B53" s="9" t="n">
        <v>3</v>
      </c>
      <c r="C53" s="9" t="s">
        <v>251</v>
      </c>
      <c r="D53" s="17" t="s">
        <v>173</v>
      </c>
      <c r="E53" s="17" t="s">
        <v>174</v>
      </c>
      <c r="F53" s="8" t="n">
        <v>20000</v>
      </c>
    </row>
    <row r="54" customFormat="false" ht="30" hidden="false" customHeight="true" outlineLevel="0" collapsed="false">
      <c r="B54" s="9" t="n">
        <v>4</v>
      </c>
      <c r="C54" s="9" t="s">
        <v>252</v>
      </c>
      <c r="D54" s="17" t="s">
        <v>176</v>
      </c>
      <c r="E54" s="17" t="s">
        <v>177</v>
      </c>
      <c r="F54" s="8" t="n">
        <v>85000</v>
      </c>
    </row>
    <row r="55" customFormat="false" ht="30" hidden="false" customHeight="true" outlineLevel="0" collapsed="false">
      <c r="B55" s="9" t="n">
        <v>5</v>
      </c>
      <c r="C55" s="9" t="s">
        <v>253</v>
      </c>
      <c r="D55" s="17" t="s">
        <v>179</v>
      </c>
      <c r="E55" s="17" t="s">
        <v>180</v>
      </c>
      <c r="F55" s="8" t="n">
        <v>30000</v>
      </c>
    </row>
    <row r="56" customFormat="false" ht="15" hidden="false" customHeight="true" outlineLevel="0" collapsed="false">
      <c r="B56" s="9" t="n">
        <v>6</v>
      </c>
      <c r="C56" s="9" t="s">
        <v>254</v>
      </c>
      <c r="D56" s="17" t="s">
        <v>182</v>
      </c>
      <c r="E56" s="17" t="s">
        <v>183</v>
      </c>
      <c r="F56" s="8" t="n">
        <v>20000</v>
      </c>
    </row>
    <row r="57" customFormat="false" ht="15" hidden="false" customHeight="true" outlineLevel="0" collapsed="false">
      <c r="B57" s="9" t="n">
        <v>7</v>
      </c>
      <c r="C57" s="9" t="s">
        <v>255</v>
      </c>
      <c r="D57" s="17" t="s">
        <v>185</v>
      </c>
      <c r="E57" s="17" t="s">
        <v>186</v>
      </c>
      <c r="F57" s="8" t="n">
        <v>12000</v>
      </c>
    </row>
    <row r="58" customFormat="false" ht="15" hidden="false" customHeight="true" outlineLevel="0" collapsed="false">
      <c r="B58" s="23"/>
      <c r="C58" s="23"/>
      <c r="D58" s="23" t="s">
        <v>256</v>
      </c>
      <c r="E58" s="23" t="s">
        <v>257</v>
      </c>
      <c r="F58" s="11" t="n">
        <f aca="false">SUM(F51:F57)</f>
        <v>352000</v>
      </c>
    </row>
    <row r="59" customFormat="false" ht="42" hidden="false" customHeight="true" outlineLevel="0" collapsed="false">
      <c r="B59" s="21" t="n">
        <v>7</v>
      </c>
      <c r="C59" s="21" t="s">
        <v>105</v>
      </c>
      <c r="D59" s="22" t="s">
        <v>106</v>
      </c>
      <c r="E59" s="22" t="s">
        <v>248</v>
      </c>
      <c r="F59" s="21"/>
    </row>
    <row r="60" customFormat="false" ht="30" hidden="false" customHeight="true" outlineLevel="0" collapsed="false">
      <c r="B60" s="9" t="n">
        <v>1</v>
      </c>
      <c r="C60" s="9" t="s">
        <v>258</v>
      </c>
      <c r="D60" s="17" t="s">
        <v>167</v>
      </c>
      <c r="E60" s="17" t="s">
        <v>168</v>
      </c>
      <c r="F60" s="8" t="n">
        <v>150000</v>
      </c>
    </row>
    <row r="61" customFormat="false" ht="30" hidden="false" customHeight="true" outlineLevel="0" collapsed="false">
      <c r="B61" s="9" t="n">
        <v>2</v>
      </c>
      <c r="C61" s="9" t="s">
        <v>259</v>
      </c>
      <c r="D61" s="17" t="s">
        <v>170</v>
      </c>
      <c r="E61" s="17" t="s">
        <v>171</v>
      </c>
      <c r="F61" s="8" t="n">
        <v>35000</v>
      </c>
    </row>
    <row r="62" customFormat="false" ht="15" hidden="false" customHeight="true" outlineLevel="0" collapsed="false">
      <c r="B62" s="9" t="n">
        <v>3</v>
      </c>
      <c r="C62" s="9" t="s">
        <v>260</v>
      </c>
      <c r="D62" s="17" t="s">
        <v>173</v>
      </c>
      <c r="E62" s="17" t="s">
        <v>174</v>
      </c>
      <c r="F62" s="8" t="n">
        <v>20000</v>
      </c>
    </row>
    <row r="63" customFormat="false" ht="30" hidden="false" customHeight="true" outlineLevel="0" collapsed="false">
      <c r="B63" s="9" t="n">
        <v>4</v>
      </c>
      <c r="C63" s="9" t="s">
        <v>261</v>
      </c>
      <c r="D63" s="17" t="s">
        <v>176</v>
      </c>
      <c r="E63" s="17" t="s">
        <v>177</v>
      </c>
      <c r="F63" s="8" t="n">
        <v>85000</v>
      </c>
    </row>
    <row r="64" customFormat="false" ht="30" hidden="false" customHeight="true" outlineLevel="0" collapsed="false">
      <c r="B64" s="9" t="n">
        <v>5</v>
      </c>
      <c r="C64" s="9" t="s">
        <v>262</v>
      </c>
      <c r="D64" s="17" t="s">
        <v>179</v>
      </c>
      <c r="E64" s="17" t="s">
        <v>180</v>
      </c>
      <c r="F64" s="8" t="n">
        <v>30000</v>
      </c>
    </row>
    <row r="65" customFormat="false" ht="15" hidden="false" customHeight="true" outlineLevel="0" collapsed="false">
      <c r="B65" s="9" t="n">
        <v>6</v>
      </c>
      <c r="C65" s="9" t="s">
        <v>263</v>
      </c>
      <c r="D65" s="17" t="s">
        <v>182</v>
      </c>
      <c r="E65" s="17" t="s">
        <v>183</v>
      </c>
      <c r="F65" s="8" t="n">
        <v>20000</v>
      </c>
    </row>
    <row r="66" customFormat="false" ht="15" hidden="false" customHeight="true" outlineLevel="0" collapsed="false">
      <c r="B66" s="9" t="n">
        <v>7</v>
      </c>
      <c r="C66" s="9" t="s">
        <v>264</v>
      </c>
      <c r="D66" s="17" t="s">
        <v>185</v>
      </c>
      <c r="E66" s="17" t="s">
        <v>186</v>
      </c>
      <c r="F66" s="8" t="n">
        <v>12000</v>
      </c>
    </row>
    <row r="67" customFormat="false" ht="15" hidden="false" customHeight="true" outlineLevel="0" collapsed="false">
      <c r="B67" s="23"/>
      <c r="C67" s="23"/>
      <c r="D67" s="23" t="s">
        <v>265</v>
      </c>
      <c r="E67" s="23" t="s">
        <v>266</v>
      </c>
      <c r="F67" s="11" t="n">
        <f aca="false">SUM(F60:F66)</f>
        <v>352000</v>
      </c>
    </row>
    <row r="68" customFormat="false" ht="42" hidden="false" customHeight="true" outlineLevel="0" collapsed="false">
      <c r="B68" s="21" t="n">
        <v>8</v>
      </c>
      <c r="C68" s="21" t="s">
        <v>107</v>
      </c>
      <c r="D68" s="22" t="s">
        <v>108</v>
      </c>
      <c r="E68" s="22" t="s">
        <v>248</v>
      </c>
      <c r="F68" s="21"/>
    </row>
    <row r="69" customFormat="false" ht="30" hidden="false" customHeight="true" outlineLevel="0" collapsed="false">
      <c r="B69" s="9" t="n">
        <v>1</v>
      </c>
      <c r="C69" s="9" t="s">
        <v>267</v>
      </c>
      <c r="D69" s="17" t="s">
        <v>167</v>
      </c>
      <c r="E69" s="17" t="s">
        <v>168</v>
      </c>
      <c r="F69" s="8" t="n">
        <v>150000</v>
      </c>
    </row>
    <row r="70" customFormat="false" ht="30" hidden="false" customHeight="true" outlineLevel="0" collapsed="false">
      <c r="B70" s="9" t="n">
        <v>2</v>
      </c>
      <c r="C70" s="9" t="s">
        <v>268</v>
      </c>
      <c r="D70" s="17" t="s">
        <v>170</v>
      </c>
      <c r="E70" s="17" t="s">
        <v>171</v>
      </c>
      <c r="F70" s="8" t="n">
        <v>35000</v>
      </c>
    </row>
    <row r="71" customFormat="false" ht="15" hidden="false" customHeight="true" outlineLevel="0" collapsed="false">
      <c r="B71" s="9" t="n">
        <v>3</v>
      </c>
      <c r="C71" s="9" t="s">
        <v>269</v>
      </c>
      <c r="D71" s="17" t="s">
        <v>173</v>
      </c>
      <c r="E71" s="17" t="s">
        <v>174</v>
      </c>
      <c r="F71" s="8" t="n">
        <v>20000</v>
      </c>
    </row>
    <row r="72" customFormat="false" ht="30" hidden="false" customHeight="true" outlineLevel="0" collapsed="false">
      <c r="B72" s="9" t="n">
        <v>4</v>
      </c>
      <c r="C72" s="9" t="s">
        <v>270</v>
      </c>
      <c r="D72" s="17" t="s">
        <v>176</v>
      </c>
      <c r="E72" s="17" t="s">
        <v>177</v>
      </c>
      <c r="F72" s="8" t="n">
        <v>85000</v>
      </c>
    </row>
    <row r="73" customFormat="false" ht="30" hidden="false" customHeight="true" outlineLevel="0" collapsed="false">
      <c r="B73" s="9" t="n">
        <v>5</v>
      </c>
      <c r="C73" s="9" t="s">
        <v>271</v>
      </c>
      <c r="D73" s="17" t="s">
        <v>179</v>
      </c>
      <c r="E73" s="17" t="s">
        <v>180</v>
      </c>
      <c r="F73" s="8" t="n">
        <v>30000</v>
      </c>
    </row>
    <row r="74" customFormat="false" ht="15" hidden="false" customHeight="true" outlineLevel="0" collapsed="false">
      <c r="B74" s="9" t="n">
        <v>6</v>
      </c>
      <c r="C74" s="9" t="s">
        <v>272</v>
      </c>
      <c r="D74" s="17" t="s">
        <v>182</v>
      </c>
      <c r="E74" s="17" t="s">
        <v>183</v>
      </c>
      <c r="F74" s="8" t="n">
        <v>20000</v>
      </c>
    </row>
    <row r="75" customFormat="false" ht="15" hidden="false" customHeight="true" outlineLevel="0" collapsed="false">
      <c r="B75" s="9" t="n">
        <v>7</v>
      </c>
      <c r="C75" s="9" t="s">
        <v>273</v>
      </c>
      <c r="D75" s="17" t="s">
        <v>185</v>
      </c>
      <c r="E75" s="17" t="s">
        <v>186</v>
      </c>
      <c r="F75" s="8" t="n">
        <v>12000</v>
      </c>
    </row>
    <row r="76" customFormat="false" ht="15" hidden="false" customHeight="true" outlineLevel="0" collapsed="false">
      <c r="B76" s="23"/>
      <c r="C76" s="23"/>
      <c r="D76" s="23" t="s">
        <v>274</v>
      </c>
      <c r="E76" s="23" t="s">
        <v>275</v>
      </c>
      <c r="F76" s="11" t="n">
        <f aca="false">SUM(F69:F75)</f>
        <v>352000</v>
      </c>
    </row>
    <row r="77" customFormat="false" ht="42" hidden="false" customHeight="true" outlineLevel="0" collapsed="false">
      <c r="B77" s="21" t="n">
        <v>9</v>
      </c>
      <c r="C77" s="21" t="s">
        <v>109</v>
      </c>
      <c r="D77" s="22" t="s">
        <v>110</v>
      </c>
      <c r="E77" s="22" t="s">
        <v>248</v>
      </c>
      <c r="F77" s="21"/>
    </row>
    <row r="78" customFormat="false" ht="30" hidden="false" customHeight="true" outlineLevel="0" collapsed="false">
      <c r="B78" s="9" t="n">
        <v>1</v>
      </c>
      <c r="C78" s="9" t="s">
        <v>276</v>
      </c>
      <c r="D78" s="17" t="s">
        <v>167</v>
      </c>
      <c r="E78" s="17" t="s">
        <v>168</v>
      </c>
      <c r="F78" s="8" t="n">
        <v>150000</v>
      </c>
    </row>
    <row r="79" customFormat="false" ht="30" hidden="false" customHeight="true" outlineLevel="0" collapsed="false">
      <c r="B79" s="9" t="n">
        <v>2</v>
      </c>
      <c r="C79" s="9" t="s">
        <v>277</v>
      </c>
      <c r="D79" s="17" t="s">
        <v>170</v>
      </c>
      <c r="E79" s="17" t="s">
        <v>171</v>
      </c>
      <c r="F79" s="8" t="n">
        <v>35000</v>
      </c>
    </row>
    <row r="80" customFormat="false" ht="15" hidden="false" customHeight="true" outlineLevel="0" collapsed="false">
      <c r="B80" s="9" t="n">
        <v>3</v>
      </c>
      <c r="C80" s="9" t="s">
        <v>278</v>
      </c>
      <c r="D80" s="17" t="s">
        <v>173</v>
      </c>
      <c r="E80" s="17" t="s">
        <v>174</v>
      </c>
      <c r="F80" s="8" t="n">
        <v>20000</v>
      </c>
    </row>
    <row r="81" customFormat="false" ht="30" hidden="false" customHeight="true" outlineLevel="0" collapsed="false">
      <c r="B81" s="9" t="n">
        <v>4</v>
      </c>
      <c r="C81" s="9" t="s">
        <v>279</v>
      </c>
      <c r="D81" s="17" t="s">
        <v>176</v>
      </c>
      <c r="E81" s="17" t="s">
        <v>177</v>
      </c>
      <c r="F81" s="8" t="n">
        <v>85000</v>
      </c>
    </row>
    <row r="82" customFormat="false" ht="30" hidden="false" customHeight="true" outlineLevel="0" collapsed="false">
      <c r="B82" s="9" t="n">
        <v>5</v>
      </c>
      <c r="C82" s="9" t="s">
        <v>280</v>
      </c>
      <c r="D82" s="17" t="s">
        <v>179</v>
      </c>
      <c r="E82" s="17" t="s">
        <v>180</v>
      </c>
      <c r="F82" s="8" t="n">
        <v>30000</v>
      </c>
    </row>
    <row r="83" customFormat="false" ht="15" hidden="false" customHeight="true" outlineLevel="0" collapsed="false">
      <c r="B83" s="9" t="n">
        <v>6</v>
      </c>
      <c r="C83" s="9" t="s">
        <v>281</v>
      </c>
      <c r="D83" s="17" t="s">
        <v>182</v>
      </c>
      <c r="E83" s="17" t="s">
        <v>183</v>
      </c>
      <c r="F83" s="8" t="n">
        <v>20000</v>
      </c>
    </row>
    <row r="84" customFormat="false" ht="15" hidden="false" customHeight="true" outlineLevel="0" collapsed="false">
      <c r="B84" s="9" t="n">
        <v>7</v>
      </c>
      <c r="C84" s="9" t="s">
        <v>282</v>
      </c>
      <c r="D84" s="17" t="s">
        <v>185</v>
      </c>
      <c r="E84" s="17" t="s">
        <v>186</v>
      </c>
      <c r="F84" s="8" t="n">
        <v>12000</v>
      </c>
    </row>
    <row r="85" customFormat="false" ht="15" hidden="false" customHeight="true" outlineLevel="0" collapsed="false">
      <c r="B85" s="23"/>
      <c r="C85" s="23"/>
      <c r="D85" s="23" t="s">
        <v>283</v>
      </c>
      <c r="E85" s="23" t="s">
        <v>284</v>
      </c>
      <c r="F85" s="11" t="n">
        <f aca="false">SUM(F78:F84)</f>
        <v>352000</v>
      </c>
    </row>
    <row r="86" customFormat="false" ht="15" hidden="false" customHeight="false" outlineLevel="0" collapsed="false"/>
    <row r="87" customFormat="false" ht="21.75" hidden="false" customHeight="true" outlineLevel="0" collapsed="false">
      <c r="B87" s="15" t="s">
        <v>285</v>
      </c>
      <c r="C87" s="15"/>
      <c r="D87" s="15"/>
      <c r="E87" s="15"/>
      <c r="F87" s="15"/>
    </row>
    <row r="88" customFormat="false" ht="30" hidden="false" customHeight="true" outlineLevel="0" collapsed="false">
      <c r="B88" s="21" t="n">
        <v>10</v>
      </c>
      <c r="C88" s="21" t="s">
        <v>111</v>
      </c>
      <c r="D88" s="22" t="s">
        <v>113</v>
      </c>
      <c r="E88" s="22" t="s">
        <v>286</v>
      </c>
      <c r="F88" s="21"/>
    </row>
    <row r="89" customFormat="false" ht="30" hidden="false" customHeight="true" outlineLevel="0" collapsed="false">
      <c r="B89" s="9" t="n">
        <v>1</v>
      </c>
      <c r="C89" s="9" t="s">
        <v>287</v>
      </c>
      <c r="D89" s="17" t="s">
        <v>288</v>
      </c>
      <c r="E89" s="17" t="s">
        <v>289</v>
      </c>
      <c r="F89" s="8" t="n">
        <v>338000</v>
      </c>
    </row>
    <row r="90" customFormat="false" ht="15" hidden="false" customHeight="true" outlineLevel="0" collapsed="false">
      <c r="B90" s="9" t="n">
        <v>2</v>
      </c>
      <c r="C90" s="9" t="s">
        <v>290</v>
      </c>
      <c r="D90" s="17" t="s">
        <v>291</v>
      </c>
      <c r="E90" s="17" t="s">
        <v>292</v>
      </c>
      <c r="F90" s="8" t="n">
        <v>115000</v>
      </c>
    </row>
    <row r="91" customFormat="false" ht="15" hidden="false" customHeight="true" outlineLevel="0" collapsed="false">
      <c r="B91" s="9" t="n">
        <v>3</v>
      </c>
      <c r="C91" s="9" t="s">
        <v>293</v>
      </c>
      <c r="D91" s="17" t="s">
        <v>294</v>
      </c>
      <c r="E91" s="17" t="s">
        <v>295</v>
      </c>
      <c r="F91" s="8" t="n">
        <v>270000</v>
      </c>
    </row>
    <row r="92" customFormat="false" ht="15" hidden="false" customHeight="true" outlineLevel="0" collapsed="false">
      <c r="B92" s="9" t="n">
        <v>4</v>
      </c>
      <c r="C92" s="9" t="s">
        <v>296</v>
      </c>
      <c r="D92" s="17" t="s">
        <v>297</v>
      </c>
      <c r="E92" s="17" t="s">
        <v>298</v>
      </c>
      <c r="F92" s="8" t="n">
        <v>10000</v>
      </c>
    </row>
    <row r="93" customFormat="false" ht="15" hidden="false" customHeight="true" outlineLevel="0" collapsed="false">
      <c r="B93" s="9" t="n">
        <v>5</v>
      </c>
      <c r="C93" s="9" t="s">
        <v>299</v>
      </c>
      <c r="D93" s="17" t="s">
        <v>300</v>
      </c>
      <c r="E93" s="17" t="s">
        <v>301</v>
      </c>
      <c r="F93" s="8" t="n">
        <v>217000</v>
      </c>
    </row>
    <row r="94" customFormat="false" ht="15" hidden="false" customHeight="true" outlineLevel="0" collapsed="false">
      <c r="B94" s="9" t="n">
        <v>6</v>
      </c>
      <c r="C94" s="9" t="s">
        <v>302</v>
      </c>
      <c r="D94" s="17" t="s">
        <v>202</v>
      </c>
      <c r="E94" s="17" t="s">
        <v>303</v>
      </c>
      <c r="F94" s="8" t="n">
        <v>50000</v>
      </c>
    </row>
    <row r="95" customFormat="false" ht="15" hidden="false" customHeight="true" outlineLevel="0" collapsed="false">
      <c r="B95" s="23"/>
      <c r="C95" s="23"/>
      <c r="D95" s="23" t="s">
        <v>304</v>
      </c>
      <c r="E95" s="23" t="s">
        <v>305</v>
      </c>
      <c r="F95" s="11" t="n">
        <f aca="false">SUM(F89:F94)</f>
        <v>1000000</v>
      </c>
    </row>
    <row r="96" customFormat="false" ht="30" hidden="false" customHeight="true" outlineLevel="0" collapsed="false">
      <c r="B96" s="21" t="n">
        <v>11</v>
      </c>
      <c r="C96" s="21" t="s">
        <v>115</v>
      </c>
      <c r="D96" s="22" t="s">
        <v>116</v>
      </c>
      <c r="E96" s="22" t="s">
        <v>286</v>
      </c>
      <c r="F96" s="21"/>
    </row>
    <row r="97" customFormat="false" ht="15" hidden="false" customHeight="true" outlineLevel="0" collapsed="false">
      <c r="B97" s="9" t="n">
        <v>1</v>
      </c>
      <c r="C97" s="9" t="s">
        <v>306</v>
      </c>
      <c r="D97" s="17" t="s">
        <v>307</v>
      </c>
      <c r="E97" s="17" t="s">
        <v>308</v>
      </c>
      <c r="F97" s="8" t="n">
        <v>40000</v>
      </c>
    </row>
    <row r="98" customFormat="false" ht="15" hidden="false" customHeight="true" outlineLevel="0" collapsed="false">
      <c r="B98" s="9" t="n">
        <v>2</v>
      </c>
      <c r="C98" s="9" t="s">
        <v>309</v>
      </c>
      <c r="D98" s="17" t="s">
        <v>310</v>
      </c>
      <c r="E98" s="17" t="s">
        <v>311</v>
      </c>
      <c r="F98" s="8" t="n">
        <v>5000</v>
      </c>
    </row>
    <row r="99" customFormat="false" ht="15" hidden="false" customHeight="true" outlineLevel="0" collapsed="false">
      <c r="B99" s="9" t="n">
        <v>3</v>
      </c>
      <c r="C99" s="9" t="s">
        <v>312</v>
      </c>
      <c r="D99" s="17" t="s">
        <v>202</v>
      </c>
      <c r="E99" s="17" t="s">
        <v>313</v>
      </c>
      <c r="F99" s="8" t="n">
        <v>2500</v>
      </c>
    </row>
    <row r="100" customFormat="false" ht="15" hidden="false" customHeight="true" outlineLevel="0" collapsed="false">
      <c r="B100" s="23"/>
      <c r="C100" s="23"/>
      <c r="D100" s="23" t="s">
        <v>314</v>
      </c>
      <c r="E100" s="23" t="s">
        <v>315</v>
      </c>
      <c r="F100" s="11" t="n">
        <f aca="false">SUM(F97:F99)</f>
        <v>47500</v>
      </c>
    </row>
    <row r="101" customFormat="false" ht="15" hidden="false" customHeight="true" outlineLevel="0" collapsed="false">
      <c r="B101" s="21" t="n">
        <v>12</v>
      </c>
      <c r="C101" s="21" t="s">
        <v>117</v>
      </c>
      <c r="D101" s="22" t="s">
        <v>118</v>
      </c>
      <c r="E101" s="22" t="s">
        <v>286</v>
      </c>
      <c r="F101" s="21"/>
    </row>
    <row r="102" customFormat="false" ht="15" hidden="false" customHeight="true" outlineLevel="0" collapsed="false">
      <c r="B102" s="9" t="n">
        <v>1</v>
      </c>
      <c r="C102" s="9" t="s">
        <v>316</v>
      </c>
      <c r="D102" s="17" t="s">
        <v>317</v>
      </c>
      <c r="E102" s="17" t="s">
        <v>318</v>
      </c>
      <c r="F102" s="8" t="n">
        <v>60000</v>
      </c>
    </row>
    <row r="103" customFormat="false" ht="15" hidden="false" customHeight="true" outlineLevel="0" collapsed="false">
      <c r="B103" s="9" t="n">
        <v>2</v>
      </c>
      <c r="C103" s="9" t="s">
        <v>319</v>
      </c>
      <c r="D103" s="17" t="s">
        <v>320</v>
      </c>
      <c r="E103" s="17" t="s">
        <v>197</v>
      </c>
      <c r="F103" s="8" t="n">
        <v>25000</v>
      </c>
    </row>
    <row r="104" customFormat="false" ht="15" hidden="false" customHeight="true" outlineLevel="0" collapsed="false">
      <c r="B104" s="9" t="n">
        <v>3</v>
      </c>
      <c r="C104" s="9" t="s">
        <v>321</v>
      </c>
      <c r="D104" s="17" t="s">
        <v>202</v>
      </c>
      <c r="E104" s="17" t="s">
        <v>322</v>
      </c>
      <c r="F104" s="8" t="n">
        <v>5000</v>
      </c>
    </row>
    <row r="105" customFormat="false" ht="15" hidden="false" customHeight="true" outlineLevel="0" collapsed="false">
      <c r="B105" s="23"/>
      <c r="C105" s="23"/>
      <c r="D105" s="23" t="s">
        <v>323</v>
      </c>
      <c r="E105" s="23" t="s">
        <v>324</v>
      </c>
      <c r="F105" s="11" t="n">
        <f aca="false">SUM(F102:F104)</f>
        <v>90000</v>
      </c>
    </row>
    <row r="106" customFormat="false" ht="15" hidden="false" customHeight="true" outlineLevel="0" collapsed="false">
      <c r="B106" s="21" t="n">
        <v>13</v>
      </c>
      <c r="C106" s="21" t="s">
        <v>119</v>
      </c>
      <c r="D106" s="22" t="s">
        <v>120</v>
      </c>
      <c r="E106" s="22" t="s">
        <v>286</v>
      </c>
      <c r="F106" s="21"/>
    </row>
    <row r="107" customFormat="false" ht="15" hidden="false" customHeight="true" outlineLevel="0" collapsed="false">
      <c r="B107" s="9" t="n">
        <v>1</v>
      </c>
      <c r="C107" s="9" t="s">
        <v>325</v>
      </c>
      <c r="D107" s="17" t="s">
        <v>326</v>
      </c>
      <c r="E107" s="17" t="s">
        <v>327</v>
      </c>
      <c r="F107" s="8" t="n">
        <v>95000</v>
      </c>
    </row>
    <row r="108" customFormat="false" ht="15" hidden="false" customHeight="true" outlineLevel="0" collapsed="false">
      <c r="B108" s="9" t="n">
        <v>2</v>
      </c>
      <c r="C108" s="9" t="s">
        <v>328</v>
      </c>
      <c r="D108" s="17" t="s">
        <v>329</v>
      </c>
      <c r="E108" s="17" t="s">
        <v>197</v>
      </c>
      <c r="F108" s="8" t="n">
        <v>25000</v>
      </c>
    </row>
    <row r="109" customFormat="false" ht="15" hidden="false" customHeight="true" outlineLevel="0" collapsed="false">
      <c r="B109" s="9" t="n">
        <v>3</v>
      </c>
      <c r="C109" s="9" t="s">
        <v>330</v>
      </c>
      <c r="D109" s="17" t="s">
        <v>202</v>
      </c>
      <c r="E109" s="17" t="s">
        <v>331</v>
      </c>
      <c r="F109" s="8" t="n">
        <v>10000</v>
      </c>
    </row>
    <row r="110" customFormat="false" ht="15" hidden="false" customHeight="true" outlineLevel="0" collapsed="false">
      <c r="B110" s="23"/>
      <c r="C110" s="23"/>
      <c r="D110" s="23" t="s">
        <v>332</v>
      </c>
      <c r="E110" s="23" t="s">
        <v>333</v>
      </c>
      <c r="F110" s="11" t="n">
        <f aca="false">SUM(F107:F109)</f>
        <v>130000</v>
      </c>
    </row>
    <row r="111" customFormat="false" ht="30" hidden="false" customHeight="true" outlineLevel="0" collapsed="false">
      <c r="B111" s="21" t="n">
        <v>14</v>
      </c>
      <c r="C111" s="21" t="s">
        <v>121</v>
      </c>
      <c r="D111" s="22" t="s">
        <v>122</v>
      </c>
      <c r="E111" s="22" t="s">
        <v>286</v>
      </c>
      <c r="F111" s="21"/>
    </row>
    <row r="112" customFormat="false" ht="15" hidden="false" customHeight="true" outlineLevel="0" collapsed="false">
      <c r="B112" s="9" t="n">
        <v>1</v>
      </c>
      <c r="C112" s="9" t="s">
        <v>334</v>
      </c>
      <c r="D112" s="17" t="s">
        <v>335</v>
      </c>
      <c r="E112" s="17" t="s">
        <v>336</v>
      </c>
      <c r="F112" s="8" t="n">
        <v>165000</v>
      </c>
    </row>
    <row r="113" customFormat="false" ht="30" hidden="false" customHeight="true" outlineLevel="0" collapsed="false">
      <c r="B113" s="9" t="n">
        <v>2</v>
      </c>
      <c r="C113" s="9" t="s">
        <v>337</v>
      </c>
      <c r="D113" s="17" t="s">
        <v>288</v>
      </c>
      <c r="E113" s="17" t="s">
        <v>338</v>
      </c>
      <c r="F113" s="8" t="n">
        <v>162500</v>
      </c>
    </row>
    <row r="114" customFormat="false" ht="15" hidden="false" customHeight="true" outlineLevel="0" collapsed="false">
      <c r="B114" s="9" t="n">
        <v>3</v>
      </c>
      <c r="C114" s="9" t="s">
        <v>339</v>
      </c>
      <c r="D114" s="17" t="s">
        <v>340</v>
      </c>
      <c r="E114" s="17" t="s">
        <v>341</v>
      </c>
      <c r="F114" s="8" t="n">
        <v>125000</v>
      </c>
    </row>
    <row r="115" customFormat="false" ht="15" hidden="false" customHeight="true" outlineLevel="0" collapsed="false">
      <c r="B115" s="9" t="n">
        <v>4</v>
      </c>
      <c r="C115" s="9" t="s">
        <v>342</v>
      </c>
      <c r="D115" s="17" t="s">
        <v>343</v>
      </c>
      <c r="E115" s="17" t="s">
        <v>301</v>
      </c>
      <c r="F115" s="8" t="n">
        <v>190000</v>
      </c>
    </row>
    <row r="116" customFormat="false" ht="15" hidden="false" customHeight="true" outlineLevel="0" collapsed="false">
      <c r="B116" s="9" t="n">
        <v>5</v>
      </c>
      <c r="C116" s="9" t="s">
        <v>344</v>
      </c>
      <c r="D116" s="17" t="s">
        <v>202</v>
      </c>
      <c r="E116" s="17" t="s">
        <v>345</v>
      </c>
      <c r="F116" s="8" t="n">
        <v>57500</v>
      </c>
    </row>
    <row r="117" customFormat="false" ht="15" hidden="false" customHeight="true" outlineLevel="0" collapsed="false">
      <c r="B117" s="23"/>
      <c r="C117" s="23"/>
      <c r="D117" s="23" t="s">
        <v>346</v>
      </c>
      <c r="E117" s="23" t="s">
        <v>347</v>
      </c>
      <c r="F117" s="11" t="n">
        <f aca="false">SUM(F112:F116)</f>
        <v>700000</v>
      </c>
    </row>
    <row r="118" customFormat="false" ht="30" hidden="false" customHeight="true" outlineLevel="0" collapsed="false">
      <c r="B118" s="21" t="n">
        <v>15</v>
      </c>
      <c r="C118" s="21" t="s">
        <v>123</v>
      </c>
      <c r="D118" s="22" t="s">
        <v>124</v>
      </c>
      <c r="E118" s="22" t="s">
        <v>286</v>
      </c>
      <c r="F118" s="21"/>
    </row>
    <row r="119" customFormat="false" ht="30" hidden="false" customHeight="true" outlineLevel="0" collapsed="false">
      <c r="B119" s="9" t="n">
        <v>1</v>
      </c>
      <c r="C119" s="9" t="s">
        <v>348</v>
      </c>
      <c r="D119" s="17" t="s">
        <v>288</v>
      </c>
      <c r="E119" s="17" t="s">
        <v>289</v>
      </c>
      <c r="F119" s="8" t="n">
        <v>338000</v>
      </c>
    </row>
    <row r="120" customFormat="false" ht="15" hidden="false" customHeight="true" outlineLevel="0" collapsed="false">
      <c r="B120" s="9" t="n">
        <v>2</v>
      </c>
      <c r="C120" s="9" t="s">
        <v>349</v>
      </c>
      <c r="D120" s="17" t="s">
        <v>291</v>
      </c>
      <c r="E120" s="17" t="s">
        <v>292</v>
      </c>
      <c r="F120" s="8" t="n">
        <v>115000</v>
      </c>
    </row>
    <row r="121" customFormat="false" ht="15" hidden="false" customHeight="true" outlineLevel="0" collapsed="false">
      <c r="B121" s="9" t="n">
        <v>3</v>
      </c>
      <c r="C121" s="9" t="s">
        <v>350</v>
      </c>
      <c r="D121" s="17" t="s">
        <v>294</v>
      </c>
      <c r="E121" s="17" t="s">
        <v>295</v>
      </c>
      <c r="F121" s="8" t="n">
        <v>270000</v>
      </c>
    </row>
    <row r="122" customFormat="false" ht="15" hidden="false" customHeight="true" outlineLevel="0" collapsed="false">
      <c r="B122" s="9" t="n">
        <v>4</v>
      </c>
      <c r="C122" s="9" t="s">
        <v>351</v>
      </c>
      <c r="D122" s="17" t="s">
        <v>352</v>
      </c>
      <c r="E122" s="17" t="s">
        <v>353</v>
      </c>
      <c r="F122" s="8" t="n">
        <v>90000</v>
      </c>
    </row>
    <row r="123" customFormat="false" ht="15" hidden="false" customHeight="true" outlineLevel="0" collapsed="false">
      <c r="B123" s="9" t="n">
        <v>5</v>
      </c>
      <c r="C123" s="9" t="s">
        <v>354</v>
      </c>
      <c r="D123" s="17" t="s">
        <v>355</v>
      </c>
      <c r="E123" s="17" t="s">
        <v>301</v>
      </c>
      <c r="F123" s="8" t="n">
        <v>150000</v>
      </c>
    </row>
    <row r="124" customFormat="false" ht="15" hidden="false" customHeight="true" outlineLevel="0" collapsed="false">
      <c r="B124" s="9" t="n">
        <v>6</v>
      </c>
      <c r="C124" s="9" t="s">
        <v>356</v>
      </c>
      <c r="D124" s="17" t="s">
        <v>202</v>
      </c>
      <c r="E124" s="17" t="s">
        <v>357</v>
      </c>
      <c r="F124" s="8" t="n">
        <v>37000</v>
      </c>
    </row>
    <row r="125" customFormat="false" ht="15" hidden="false" customHeight="true" outlineLevel="0" collapsed="false">
      <c r="B125" s="23"/>
      <c r="C125" s="23"/>
      <c r="D125" s="23" t="s">
        <v>358</v>
      </c>
      <c r="E125" s="23" t="s">
        <v>359</v>
      </c>
      <c r="F125" s="11" t="n">
        <f aca="false">SUM(F119:F124)</f>
        <v>1000000</v>
      </c>
    </row>
    <row r="126" customFormat="false" ht="30" hidden="false" customHeight="true" outlineLevel="0" collapsed="false">
      <c r="B126" s="21" t="n">
        <v>16</v>
      </c>
      <c r="C126" s="21" t="s">
        <v>125</v>
      </c>
      <c r="D126" s="22" t="s">
        <v>126</v>
      </c>
      <c r="E126" s="22" t="s">
        <v>286</v>
      </c>
      <c r="F126" s="21"/>
    </row>
    <row r="127" customFormat="false" ht="15" hidden="false" customHeight="true" outlineLevel="0" collapsed="false">
      <c r="B127" s="9" t="n">
        <v>1</v>
      </c>
      <c r="C127" s="9" t="s">
        <v>360</v>
      </c>
      <c r="D127" s="17" t="s">
        <v>288</v>
      </c>
      <c r="E127" s="17" t="s">
        <v>361</v>
      </c>
      <c r="F127" s="8" t="n">
        <v>390000</v>
      </c>
    </row>
    <row r="128" customFormat="false" ht="15" hidden="false" customHeight="true" outlineLevel="0" collapsed="false">
      <c r="B128" s="9" t="n">
        <v>2</v>
      </c>
      <c r="C128" s="9" t="s">
        <v>362</v>
      </c>
      <c r="D128" s="17" t="s">
        <v>291</v>
      </c>
      <c r="E128" s="17" t="s">
        <v>363</v>
      </c>
      <c r="F128" s="8" t="n">
        <v>120000</v>
      </c>
    </row>
    <row r="129" customFormat="false" ht="15" hidden="false" customHeight="true" outlineLevel="0" collapsed="false">
      <c r="B129" s="9" t="n">
        <v>3</v>
      </c>
      <c r="C129" s="9" t="s">
        <v>364</v>
      </c>
      <c r="D129" s="17" t="s">
        <v>294</v>
      </c>
      <c r="E129" s="17" t="s">
        <v>365</v>
      </c>
      <c r="F129" s="8" t="n">
        <v>280000</v>
      </c>
    </row>
    <row r="130" customFormat="false" ht="15" hidden="false" customHeight="true" outlineLevel="0" collapsed="false">
      <c r="B130" s="9" t="n">
        <v>4</v>
      </c>
      <c r="C130" s="9" t="s">
        <v>366</v>
      </c>
      <c r="D130" s="17" t="s">
        <v>367</v>
      </c>
      <c r="E130" s="17" t="s">
        <v>368</v>
      </c>
      <c r="F130" s="8" t="n">
        <v>130000</v>
      </c>
    </row>
    <row r="131" customFormat="false" ht="15" hidden="false" customHeight="true" outlineLevel="0" collapsed="false">
      <c r="B131" s="9" t="n">
        <v>5</v>
      </c>
      <c r="C131" s="9" t="s">
        <v>369</v>
      </c>
      <c r="D131" s="17" t="s">
        <v>370</v>
      </c>
      <c r="E131" s="17" t="s">
        <v>371</v>
      </c>
      <c r="F131" s="8" t="n">
        <v>100000</v>
      </c>
    </row>
    <row r="132" customFormat="false" ht="15" hidden="false" customHeight="true" outlineLevel="0" collapsed="false">
      <c r="B132" s="9" t="n">
        <v>6</v>
      </c>
      <c r="C132" s="9" t="s">
        <v>372</v>
      </c>
      <c r="D132" s="17" t="s">
        <v>373</v>
      </c>
      <c r="E132" s="17" t="s">
        <v>301</v>
      </c>
      <c r="F132" s="8" t="n">
        <v>150000</v>
      </c>
    </row>
    <row r="133" customFormat="false" ht="15" hidden="false" customHeight="true" outlineLevel="0" collapsed="false">
      <c r="B133" s="9" t="n">
        <v>7</v>
      </c>
      <c r="C133" s="9" t="s">
        <v>374</v>
      </c>
      <c r="D133" s="17" t="s">
        <v>202</v>
      </c>
      <c r="E133" s="17" t="s">
        <v>375</v>
      </c>
      <c r="F133" s="8" t="n">
        <v>30000</v>
      </c>
    </row>
    <row r="134" customFormat="false" ht="15" hidden="false" customHeight="true" outlineLevel="0" collapsed="false">
      <c r="B134" s="23"/>
      <c r="C134" s="23"/>
      <c r="D134" s="23" t="s">
        <v>376</v>
      </c>
      <c r="E134" s="23" t="s">
        <v>377</v>
      </c>
      <c r="F134" s="11" t="n">
        <f aca="false">SUM(F127:F133)</f>
        <v>1200000</v>
      </c>
    </row>
    <row r="135" customFormat="false" ht="54" hidden="false" customHeight="true" outlineLevel="0" collapsed="false">
      <c r="B135" s="21" t="n">
        <v>17</v>
      </c>
      <c r="C135" s="21" t="s">
        <v>127</v>
      </c>
      <c r="D135" s="22" t="s">
        <v>128</v>
      </c>
      <c r="E135" s="22" t="s">
        <v>378</v>
      </c>
      <c r="F135" s="21"/>
    </row>
    <row r="136" customFormat="false" ht="15" hidden="false" customHeight="true" outlineLevel="0" collapsed="false">
      <c r="B136" s="9" t="n">
        <v>1</v>
      </c>
      <c r="C136" s="9" t="s">
        <v>379</v>
      </c>
      <c r="D136" s="17" t="s">
        <v>380</v>
      </c>
      <c r="E136" s="17" t="s">
        <v>381</v>
      </c>
      <c r="F136" s="8" t="n">
        <v>1200000</v>
      </c>
    </row>
    <row r="137" customFormat="false" ht="15" hidden="false" customHeight="true" outlineLevel="0" collapsed="false">
      <c r="B137" s="9" t="n">
        <v>2</v>
      </c>
      <c r="C137" s="9" t="s">
        <v>382</v>
      </c>
      <c r="D137" s="17" t="s">
        <v>383</v>
      </c>
      <c r="E137" s="17" t="s">
        <v>384</v>
      </c>
      <c r="F137" s="8" t="n">
        <v>500000</v>
      </c>
    </row>
    <row r="138" customFormat="false" ht="15" hidden="false" customHeight="true" outlineLevel="0" collapsed="false">
      <c r="B138" s="9" t="n">
        <v>3</v>
      </c>
      <c r="C138" s="9" t="s">
        <v>385</v>
      </c>
      <c r="D138" s="17" t="s">
        <v>386</v>
      </c>
      <c r="E138" s="17" t="s">
        <v>387</v>
      </c>
      <c r="F138" s="8" t="n">
        <v>400000</v>
      </c>
    </row>
    <row r="139" customFormat="false" ht="15" hidden="false" customHeight="true" outlineLevel="0" collapsed="false">
      <c r="B139" s="9" t="n">
        <v>4</v>
      </c>
      <c r="C139" s="9" t="s">
        <v>388</v>
      </c>
      <c r="D139" s="17" t="s">
        <v>389</v>
      </c>
      <c r="E139" s="17" t="s">
        <v>390</v>
      </c>
      <c r="F139" s="8" t="n">
        <v>350000</v>
      </c>
    </row>
    <row r="140" customFormat="false" ht="15" hidden="false" customHeight="true" outlineLevel="0" collapsed="false">
      <c r="B140" s="9" t="n">
        <v>5</v>
      </c>
      <c r="C140" s="9" t="s">
        <v>391</v>
      </c>
      <c r="D140" s="17" t="s">
        <v>392</v>
      </c>
      <c r="E140" s="17" t="s">
        <v>393</v>
      </c>
      <c r="F140" s="8" t="n">
        <v>300000</v>
      </c>
    </row>
    <row r="141" customFormat="false" ht="15" hidden="false" customHeight="true" outlineLevel="0" collapsed="false">
      <c r="B141" s="9" t="n">
        <v>6</v>
      </c>
      <c r="C141" s="9" t="s">
        <v>394</v>
      </c>
      <c r="D141" s="17" t="s">
        <v>395</v>
      </c>
      <c r="E141" s="17" t="s">
        <v>396</v>
      </c>
      <c r="F141" s="8" t="n">
        <v>1350000</v>
      </c>
    </row>
    <row r="142" customFormat="false" ht="15" hidden="false" customHeight="true" outlineLevel="0" collapsed="false">
      <c r="B142" s="9" t="n">
        <v>7</v>
      </c>
      <c r="C142" s="9" t="s">
        <v>397</v>
      </c>
      <c r="D142" s="17" t="s">
        <v>202</v>
      </c>
      <c r="E142" s="17" t="s">
        <v>398</v>
      </c>
      <c r="F142" s="8" t="n">
        <v>400000</v>
      </c>
    </row>
    <row r="143" customFormat="false" ht="15" hidden="false" customHeight="true" outlineLevel="0" collapsed="false">
      <c r="B143" s="23"/>
      <c r="C143" s="23"/>
      <c r="D143" s="23" t="s">
        <v>399</v>
      </c>
      <c r="E143" s="23" t="s">
        <v>400</v>
      </c>
      <c r="F143" s="11" t="n">
        <f aca="false">SUM(F136:F142)</f>
        <v>4500000</v>
      </c>
    </row>
    <row r="144" customFormat="false" ht="15" hidden="false" customHeight="false" outlineLevel="0" collapsed="false"/>
    <row r="145" customFormat="false" ht="21.75" hidden="false" customHeight="true" outlineLevel="0" collapsed="false">
      <c r="B145" s="15" t="s">
        <v>401</v>
      </c>
      <c r="C145" s="15"/>
      <c r="D145" s="15"/>
      <c r="E145" s="15"/>
      <c r="F145" s="15"/>
    </row>
    <row r="146" customFormat="false" ht="54" hidden="false" customHeight="true" outlineLevel="0" collapsed="false">
      <c r="B146" s="21" t="n">
        <v>18</v>
      </c>
      <c r="C146" s="21" t="s">
        <v>130</v>
      </c>
      <c r="D146" s="22" t="s">
        <v>132</v>
      </c>
      <c r="E146" s="22" t="s">
        <v>402</v>
      </c>
      <c r="F146" s="21"/>
    </row>
    <row r="147" customFormat="false" ht="30" hidden="false" customHeight="true" outlineLevel="0" collapsed="false">
      <c r="B147" s="9" t="n">
        <v>1</v>
      </c>
      <c r="C147" s="9" t="s">
        <v>403</v>
      </c>
      <c r="D147" s="17" t="s">
        <v>404</v>
      </c>
      <c r="E147" s="17" t="s">
        <v>405</v>
      </c>
      <c r="F147" s="8" t="n">
        <v>6500000</v>
      </c>
    </row>
    <row r="148" customFormat="false" ht="30" hidden="false" customHeight="true" outlineLevel="0" collapsed="false">
      <c r="B148" s="9" t="n">
        <v>2</v>
      </c>
      <c r="C148" s="9" t="s">
        <v>406</v>
      </c>
      <c r="D148" s="17" t="s">
        <v>407</v>
      </c>
      <c r="E148" s="17" t="s">
        <v>408</v>
      </c>
      <c r="F148" s="8" t="n">
        <v>5000000</v>
      </c>
    </row>
    <row r="149" customFormat="false" ht="30" hidden="false" customHeight="true" outlineLevel="0" collapsed="false">
      <c r="B149" s="9" t="n">
        <v>3</v>
      </c>
      <c r="C149" s="9" t="s">
        <v>409</v>
      </c>
      <c r="D149" s="17" t="s">
        <v>410</v>
      </c>
      <c r="E149" s="17" t="s">
        <v>411</v>
      </c>
      <c r="F149" s="8" t="n">
        <v>5000000</v>
      </c>
    </row>
    <row r="150" customFormat="false" ht="30" hidden="false" customHeight="true" outlineLevel="0" collapsed="false">
      <c r="B150" s="9" t="n">
        <v>4</v>
      </c>
      <c r="C150" s="9" t="s">
        <v>412</v>
      </c>
      <c r="D150" s="17" t="s">
        <v>413</v>
      </c>
      <c r="E150" s="17" t="s">
        <v>414</v>
      </c>
      <c r="F150" s="8" t="n">
        <v>2000000</v>
      </c>
    </row>
    <row r="151" customFormat="false" ht="15" hidden="false" customHeight="true" outlineLevel="0" collapsed="false">
      <c r="B151" s="9" t="n">
        <v>5</v>
      </c>
      <c r="C151" s="9" t="s">
        <v>415</v>
      </c>
      <c r="D151" s="17" t="s">
        <v>416</v>
      </c>
      <c r="E151" s="17" t="s">
        <v>417</v>
      </c>
      <c r="F151" s="8" t="n">
        <v>1500000</v>
      </c>
    </row>
    <row r="152" customFormat="false" ht="30" hidden="false" customHeight="true" outlineLevel="0" collapsed="false">
      <c r="B152" s="9" t="n">
        <v>6</v>
      </c>
      <c r="C152" s="9" t="s">
        <v>418</v>
      </c>
      <c r="D152" s="17" t="s">
        <v>419</v>
      </c>
      <c r="E152" s="17" t="s">
        <v>414</v>
      </c>
      <c r="F152" s="8" t="n">
        <v>1000000</v>
      </c>
    </row>
    <row r="153" customFormat="false" ht="15" hidden="false" customHeight="true" outlineLevel="0" collapsed="false">
      <c r="B153" s="9" t="n">
        <v>7</v>
      </c>
      <c r="C153" s="9" t="s">
        <v>420</v>
      </c>
      <c r="D153" s="17" t="s">
        <v>421</v>
      </c>
      <c r="E153" s="17" t="s">
        <v>422</v>
      </c>
      <c r="F153" s="8" t="n">
        <v>1500000</v>
      </c>
    </row>
    <row r="154" customFormat="false" ht="15" hidden="false" customHeight="true" outlineLevel="0" collapsed="false">
      <c r="B154" s="9" t="n">
        <v>8</v>
      </c>
      <c r="C154" s="9" t="s">
        <v>423</v>
      </c>
      <c r="D154" s="17" t="s">
        <v>202</v>
      </c>
      <c r="E154" s="17" t="s">
        <v>424</v>
      </c>
      <c r="F154" s="8" t="n">
        <v>1500000</v>
      </c>
    </row>
    <row r="155" customFormat="false" ht="15" hidden="false" customHeight="true" outlineLevel="0" collapsed="false">
      <c r="B155" s="23"/>
      <c r="C155" s="23"/>
      <c r="D155" s="23" t="s">
        <v>425</v>
      </c>
      <c r="E155" s="23" t="s">
        <v>426</v>
      </c>
      <c r="F155" s="11" t="n">
        <f aca="false">SUM(F147:F154)</f>
        <v>24000000</v>
      </c>
    </row>
    <row r="156" customFormat="false" ht="30" hidden="false" customHeight="true" outlineLevel="0" collapsed="false">
      <c r="B156" s="21" t="n">
        <v>19</v>
      </c>
      <c r="C156" s="21" t="s">
        <v>134</v>
      </c>
      <c r="D156" s="22" t="s">
        <v>135</v>
      </c>
      <c r="E156" s="22" t="s">
        <v>427</v>
      </c>
      <c r="F156" s="21"/>
    </row>
    <row r="157" customFormat="false" ht="30" hidden="false" customHeight="true" outlineLevel="0" collapsed="false">
      <c r="B157" s="9" t="n">
        <v>1</v>
      </c>
      <c r="C157" s="9" t="s">
        <v>428</v>
      </c>
      <c r="D157" s="17" t="s">
        <v>429</v>
      </c>
      <c r="E157" s="17" t="s">
        <v>430</v>
      </c>
      <c r="F157" s="8" t="n">
        <v>700000</v>
      </c>
    </row>
    <row r="158" customFormat="false" ht="30" hidden="false" customHeight="true" outlineLevel="0" collapsed="false">
      <c r="B158" s="9" t="n">
        <v>2</v>
      </c>
      <c r="C158" s="9" t="s">
        <v>431</v>
      </c>
      <c r="D158" s="17" t="s">
        <v>432</v>
      </c>
      <c r="E158" s="17" t="s">
        <v>433</v>
      </c>
      <c r="F158" s="8" t="n">
        <v>300000</v>
      </c>
    </row>
    <row r="159" customFormat="false" ht="30" hidden="false" customHeight="true" outlineLevel="0" collapsed="false">
      <c r="B159" s="9" t="n">
        <v>3</v>
      </c>
      <c r="C159" s="9" t="s">
        <v>434</v>
      </c>
      <c r="D159" s="17" t="s">
        <v>435</v>
      </c>
      <c r="E159" s="17" t="s">
        <v>436</v>
      </c>
      <c r="F159" s="8" t="n">
        <v>200000</v>
      </c>
    </row>
    <row r="160" customFormat="false" ht="15" hidden="false" customHeight="true" outlineLevel="0" collapsed="false">
      <c r="B160" s="9" t="n">
        <v>4</v>
      </c>
      <c r="C160" s="9" t="s">
        <v>437</v>
      </c>
      <c r="D160" s="17" t="s">
        <v>438</v>
      </c>
      <c r="E160" s="17" t="s">
        <v>439</v>
      </c>
      <c r="F160" s="8" t="n">
        <v>200000</v>
      </c>
    </row>
    <row r="161" customFormat="false" ht="15" hidden="false" customHeight="true" outlineLevel="0" collapsed="false">
      <c r="B161" s="9" t="n">
        <v>5</v>
      </c>
      <c r="C161" s="9" t="s">
        <v>440</v>
      </c>
      <c r="D161" s="17" t="s">
        <v>202</v>
      </c>
      <c r="E161" s="17" t="s">
        <v>230</v>
      </c>
      <c r="F161" s="8" t="n">
        <v>100000</v>
      </c>
    </row>
    <row r="162" customFormat="false" ht="15" hidden="false" customHeight="true" outlineLevel="0" collapsed="false">
      <c r="B162" s="23"/>
      <c r="C162" s="23"/>
      <c r="D162" s="23" t="s">
        <v>441</v>
      </c>
      <c r="E162" s="23" t="s">
        <v>442</v>
      </c>
      <c r="F162" s="11" t="n">
        <f aca="false">SUM(F157:F161)</f>
        <v>1500000</v>
      </c>
    </row>
    <row r="163" customFormat="false" ht="30" hidden="false" customHeight="true" outlineLevel="0" collapsed="false">
      <c r="B163" s="21" t="n">
        <v>20</v>
      </c>
      <c r="C163" s="21" t="s">
        <v>137</v>
      </c>
      <c r="D163" s="22" t="s">
        <v>138</v>
      </c>
      <c r="E163" s="22" t="s">
        <v>402</v>
      </c>
      <c r="F163" s="21"/>
    </row>
    <row r="164" customFormat="false" ht="30" hidden="false" customHeight="true" outlineLevel="0" collapsed="false">
      <c r="B164" s="9" t="n">
        <v>1</v>
      </c>
      <c r="C164" s="9" t="s">
        <v>443</v>
      </c>
      <c r="D164" s="17" t="s">
        <v>444</v>
      </c>
      <c r="E164" s="17" t="s">
        <v>445</v>
      </c>
      <c r="F164" s="8" t="n">
        <v>1600000</v>
      </c>
    </row>
    <row r="165" customFormat="false" ht="15" hidden="false" customHeight="true" outlineLevel="0" collapsed="false">
      <c r="B165" s="9" t="n">
        <v>2</v>
      </c>
      <c r="C165" s="9" t="s">
        <v>446</v>
      </c>
      <c r="D165" s="17" t="s">
        <v>447</v>
      </c>
      <c r="E165" s="17" t="s">
        <v>448</v>
      </c>
      <c r="F165" s="8" t="n">
        <v>100000</v>
      </c>
    </row>
    <row r="166" customFormat="false" ht="30" hidden="false" customHeight="true" outlineLevel="0" collapsed="false">
      <c r="B166" s="9" t="n">
        <v>3</v>
      </c>
      <c r="C166" s="9" t="s">
        <v>449</v>
      </c>
      <c r="D166" s="17" t="s">
        <v>450</v>
      </c>
      <c r="E166" s="17" t="s">
        <v>451</v>
      </c>
      <c r="F166" s="8" t="n">
        <v>80000</v>
      </c>
    </row>
    <row r="167" customFormat="false" ht="15" hidden="false" customHeight="true" outlineLevel="0" collapsed="false">
      <c r="B167" s="9" t="n">
        <v>4</v>
      </c>
      <c r="C167" s="9" t="s">
        <v>452</v>
      </c>
      <c r="D167" s="17" t="s">
        <v>214</v>
      </c>
      <c r="E167" s="17" t="s">
        <v>453</v>
      </c>
      <c r="F167" s="8" t="n">
        <v>150000</v>
      </c>
    </row>
    <row r="168" customFormat="false" ht="15" hidden="false" customHeight="true" outlineLevel="0" collapsed="false">
      <c r="B168" s="9" t="n">
        <v>5</v>
      </c>
      <c r="C168" s="9" t="s">
        <v>454</v>
      </c>
      <c r="D168" s="17" t="s">
        <v>202</v>
      </c>
      <c r="E168" s="17" t="s">
        <v>455</v>
      </c>
      <c r="F168" s="8" t="n">
        <v>170000</v>
      </c>
    </row>
    <row r="169" customFormat="false" ht="15" hidden="false" customHeight="true" outlineLevel="0" collapsed="false">
      <c r="B169" s="23"/>
      <c r="C169" s="23"/>
      <c r="D169" s="23" t="s">
        <v>456</v>
      </c>
      <c r="E169" s="23" t="s">
        <v>457</v>
      </c>
      <c r="F169" s="11" t="n">
        <f aca="false">SUM(F164:F168)</f>
        <v>2100000</v>
      </c>
    </row>
    <row r="170" customFormat="false" ht="42" hidden="false" customHeight="true" outlineLevel="0" collapsed="false">
      <c r="B170" s="21" t="n">
        <v>21</v>
      </c>
      <c r="C170" s="21" t="s">
        <v>139</v>
      </c>
      <c r="D170" s="22" t="s">
        <v>140</v>
      </c>
      <c r="E170" s="22" t="s">
        <v>427</v>
      </c>
      <c r="F170" s="21"/>
    </row>
    <row r="171" customFormat="false" ht="15" hidden="false" customHeight="true" outlineLevel="0" collapsed="false">
      <c r="B171" s="9" t="n">
        <v>1</v>
      </c>
      <c r="C171" s="9" t="s">
        <v>458</v>
      </c>
      <c r="D171" s="17" t="s">
        <v>459</v>
      </c>
      <c r="E171" s="17" t="s">
        <v>460</v>
      </c>
      <c r="F171" s="8" t="n">
        <v>800000</v>
      </c>
    </row>
    <row r="172" customFormat="false" ht="15" hidden="false" customHeight="true" outlineLevel="0" collapsed="false">
      <c r="B172" s="9" t="n">
        <v>2</v>
      </c>
      <c r="C172" s="9" t="s">
        <v>461</v>
      </c>
      <c r="D172" s="17" t="s">
        <v>462</v>
      </c>
      <c r="E172" s="17" t="s">
        <v>463</v>
      </c>
      <c r="F172" s="8" t="n">
        <v>300000</v>
      </c>
    </row>
    <row r="173" customFormat="false" ht="15" hidden="false" customHeight="true" outlineLevel="0" collapsed="false">
      <c r="B173" s="9" t="n">
        <v>3</v>
      </c>
      <c r="C173" s="9" t="s">
        <v>464</v>
      </c>
      <c r="D173" s="17" t="s">
        <v>465</v>
      </c>
      <c r="E173" s="17" t="s">
        <v>466</v>
      </c>
      <c r="F173" s="8" t="n">
        <v>700000</v>
      </c>
    </row>
    <row r="174" customFormat="false" ht="15" hidden="false" customHeight="true" outlineLevel="0" collapsed="false">
      <c r="B174" s="9" t="n">
        <v>4</v>
      </c>
      <c r="C174" s="9" t="s">
        <v>467</v>
      </c>
      <c r="D174" s="17" t="s">
        <v>468</v>
      </c>
      <c r="E174" s="17" t="s">
        <v>469</v>
      </c>
      <c r="F174" s="8" t="n">
        <v>300000</v>
      </c>
    </row>
    <row r="175" customFormat="false" ht="15" hidden="false" customHeight="true" outlineLevel="0" collapsed="false">
      <c r="B175" s="9" t="n">
        <v>5</v>
      </c>
      <c r="C175" s="9" t="s">
        <v>470</v>
      </c>
      <c r="D175" s="17" t="s">
        <v>471</v>
      </c>
      <c r="E175" s="17" t="s">
        <v>472</v>
      </c>
      <c r="F175" s="8" t="n">
        <v>150000</v>
      </c>
    </row>
    <row r="176" customFormat="false" ht="15" hidden="false" customHeight="true" outlineLevel="0" collapsed="false">
      <c r="B176" s="9" t="n">
        <v>6</v>
      </c>
      <c r="C176" s="9" t="s">
        <v>473</v>
      </c>
      <c r="D176" s="17" t="s">
        <v>202</v>
      </c>
      <c r="E176" s="17" t="s">
        <v>474</v>
      </c>
      <c r="F176" s="8" t="n">
        <v>250000</v>
      </c>
    </row>
    <row r="177" customFormat="false" ht="15" hidden="false" customHeight="true" outlineLevel="0" collapsed="false">
      <c r="B177" s="23"/>
      <c r="C177" s="23"/>
      <c r="D177" s="23" t="s">
        <v>475</v>
      </c>
      <c r="E177" s="23" t="s">
        <v>476</v>
      </c>
      <c r="F177" s="11" t="n">
        <f aca="false">SUM(F171:F176)</f>
        <v>2500000</v>
      </c>
    </row>
    <row r="178" customFormat="false" ht="15" hidden="false" customHeight="false" outlineLevel="0" collapsed="false"/>
    <row r="179" customFormat="false" ht="21.75" hidden="false" customHeight="true" outlineLevel="0" collapsed="false">
      <c r="B179" s="15" t="s">
        <v>477</v>
      </c>
      <c r="C179" s="15"/>
      <c r="D179" s="15"/>
      <c r="E179" s="15"/>
      <c r="F179" s="15"/>
    </row>
    <row r="180" customFormat="false" ht="42" hidden="false" customHeight="true" outlineLevel="0" collapsed="false">
      <c r="B180" s="21" t="n">
        <v>22</v>
      </c>
      <c r="C180" s="21" t="s">
        <v>141</v>
      </c>
      <c r="D180" s="22" t="s">
        <v>143</v>
      </c>
      <c r="E180" s="22" t="s">
        <v>402</v>
      </c>
      <c r="F180" s="21"/>
    </row>
    <row r="181" customFormat="false" ht="30" hidden="false" customHeight="true" outlineLevel="0" collapsed="false">
      <c r="B181" s="9" t="n">
        <v>1</v>
      </c>
      <c r="C181" s="9" t="s">
        <v>478</v>
      </c>
      <c r="D181" s="17" t="s">
        <v>479</v>
      </c>
      <c r="E181" s="17" t="s">
        <v>480</v>
      </c>
      <c r="F181" s="8" t="n">
        <v>10000000</v>
      </c>
    </row>
    <row r="182" customFormat="false" ht="15" hidden="false" customHeight="true" outlineLevel="0" collapsed="false">
      <c r="B182" s="9" t="n">
        <v>2</v>
      </c>
      <c r="C182" s="9" t="s">
        <v>481</v>
      </c>
      <c r="D182" s="17" t="s">
        <v>482</v>
      </c>
      <c r="E182" s="17" t="s">
        <v>483</v>
      </c>
      <c r="F182" s="8" t="n">
        <v>400000</v>
      </c>
    </row>
    <row r="183" customFormat="false" ht="15" hidden="false" customHeight="true" outlineLevel="0" collapsed="false">
      <c r="B183" s="9" t="n">
        <v>3</v>
      </c>
      <c r="C183" s="9" t="s">
        <v>484</v>
      </c>
      <c r="D183" s="17" t="s">
        <v>485</v>
      </c>
      <c r="E183" s="17" t="s">
        <v>486</v>
      </c>
      <c r="F183" s="8" t="n">
        <v>600000</v>
      </c>
    </row>
    <row r="184" customFormat="false" ht="15" hidden="false" customHeight="true" outlineLevel="0" collapsed="false">
      <c r="B184" s="9" t="n">
        <v>4</v>
      </c>
      <c r="C184" s="9" t="s">
        <v>487</v>
      </c>
      <c r="D184" s="17" t="s">
        <v>488</v>
      </c>
      <c r="E184" s="17" t="s">
        <v>489</v>
      </c>
      <c r="F184" s="8" t="n">
        <v>700000</v>
      </c>
    </row>
    <row r="185" customFormat="false" ht="15" hidden="false" customHeight="true" outlineLevel="0" collapsed="false">
      <c r="B185" s="9" t="n">
        <v>5</v>
      </c>
      <c r="C185" s="9" t="s">
        <v>490</v>
      </c>
      <c r="D185" s="17" t="s">
        <v>202</v>
      </c>
      <c r="E185" s="17" t="s">
        <v>491</v>
      </c>
      <c r="F185" s="8" t="n">
        <v>800000</v>
      </c>
    </row>
    <row r="186" customFormat="false" ht="15" hidden="false" customHeight="true" outlineLevel="0" collapsed="false">
      <c r="B186" s="23"/>
      <c r="C186" s="23"/>
      <c r="D186" s="23" t="s">
        <v>492</v>
      </c>
      <c r="E186" s="23" t="s">
        <v>493</v>
      </c>
      <c r="F186" s="11" t="n">
        <f aca="false">SUM(F181:F185)</f>
        <v>12500000</v>
      </c>
    </row>
    <row r="187" customFormat="false" ht="30" hidden="false" customHeight="true" outlineLevel="0" collapsed="false">
      <c r="B187" s="21" t="n">
        <v>23</v>
      </c>
      <c r="C187" s="21" t="s">
        <v>144</v>
      </c>
      <c r="D187" s="22" t="s">
        <v>145</v>
      </c>
      <c r="E187" s="22" t="s">
        <v>427</v>
      </c>
      <c r="F187" s="21"/>
    </row>
    <row r="188" customFormat="false" ht="30" hidden="false" customHeight="true" outlineLevel="0" collapsed="false">
      <c r="B188" s="9" t="n">
        <v>1</v>
      </c>
      <c r="C188" s="9" t="s">
        <v>494</v>
      </c>
      <c r="D188" s="17" t="s">
        <v>495</v>
      </c>
      <c r="E188" s="17" t="s">
        <v>496</v>
      </c>
      <c r="F188" s="8" t="n">
        <v>600000</v>
      </c>
    </row>
    <row r="189" customFormat="false" ht="15" hidden="false" customHeight="true" outlineLevel="0" collapsed="false">
      <c r="B189" s="9" t="n">
        <v>2</v>
      </c>
      <c r="C189" s="9" t="s">
        <v>497</v>
      </c>
      <c r="D189" s="17" t="s">
        <v>498</v>
      </c>
      <c r="E189" s="17" t="s">
        <v>499</v>
      </c>
      <c r="F189" s="8" t="n">
        <v>250000</v>
      </c>
    </row>
    <row r="190" customFormat="false" ht="15" hidden="false" customHeight="true" outlineLevel="0" collapsed="false">
      <c r="B190" s="9" t="n">
        <v>3</v>
      </c>
      <c r="C190" s="9" t="s">
        <v>500</v>
      </c>
      <c r="D190" s="17" t="s">
        <v>501</v>
      </c>
      <c r="E190" s="17" t="s">
        <v>197</v>
      </c>
      <c r="F190" s="8" t="n">
        <v>400000</v>
      </c>
    </row>
    <row r="191" customFormat="false" ht="15" hidden="false" customHeight="true" outlineLevel="0" collapsed="false">
      <c r="B191" s="9" t="n">
        <v>4</v>
      </c>
      <c r="C191" s="9" t="s">
        <v>502</v>
      </c>
      <c r="D191" s="17" t="s">
        <v>503</v>
      </c>
      <c r="E191" s="17" t="s">
        <v>469</v>
      </c>
      <c r="F191" s="8" t="n">
        <v>150000</v>
      </c>
    </row>
    <row r="192" customFormat="false" ht="15" hidden="false" customHeight="true" outlineLevel="0" collapsed="false">
      <c r="B192" s="9" t="n">
        <v>5</v>
      </c>
      <c r="C192" s="9" t="s">
        <v>504</v>
      </c>
      <c r="D192" s="17" t="s">
        <v>202</v>
      </c>
      <c r="E192" s="17" t="s">
        <v>230</v>
      </c>
      <c r="F192" s="8" t="n">
        <v>100000</v>
      </c>
    </row>
    <row r="193" customFormat="false" ht="15" hidden="false" customHeight="true" outlineLevel="0" collapsed="false">
      <c r="B193" s="23"/>
      <c r="C193" s="23"/>
      <c r="D193" s="23" t="s">
        <v>505</v>
      </c>
      <c r="E193" s="23" t="s">
        <v>506</v>
      </c>
      <c r="F193" s="11" t="n">
        <f aca="false">SUM(F188:F192)</f>
        <v>1500000</v>
      </c>
    </row>
    <row r="194" customFormat="false" ht="30" hidden="false" customHeight="true" outlineLevel="0" collapsed="false">
      <c r="B194" s="21" t="n">
        <v>24</v>
      </c>
      <c r="C194" s="21" t="s">
        <v>146</v>
      </c>
      <c r="D194" s="22" t="s">
        <v>147</v>
      </c>
      <c r="E194" s="22" t="s">
        <v>402</v>
      </c>
      <c r="F194" s="21"/>
    </row>
    <row r="195" customFormat="false" ht="15" hidden="false" customHeight="true" outlineLevel="0" collapsed="false">
      <c r="B195" s="9" t="n">
        <v>1</v>
      </c>
      <c r="C195" s="9" t="s">
        <v>507</v>
      </c>
      <c r="D195" s="17" t="s">
        <v>508</v>
      </c>
      <c r="E195" s="17" t="s">
        <v>509</v>
      </c>
      <c r="F195" s="8" t="n">
        <v>3200000</v>
      </c>
    </row>
    <row r="196" customFormat="false" ht="15" hidden="false" customHeight="true" outlineLevel="0" collapsed="false">
      <c r="B196" s="9" t="n">
        <v>2</v>
      </c>
      <c r="C196" s="9" t="s">
        <v>510</v>
      </c>
      <c r="D196" s="17" t="s">
        <v>416</v>
      </c>
      <c r="E196" s="17" t="s">
        <v>511</v>
      </c>
      <c r="F196" s="8" t="n">
        <v>800000</v>
      </c>
    </row>
    <row r="197" customFormat="false" ht="15" hidden="false" customHeight="true" outlineLevel="0" collapsed="false">
      <c r="B197" s="9" t="n">
        <v>3</v>
      </c>
      <c r="C197" s="9" t="s">
        <v>512</v>
      </c>
      <c r="D197" s="17" t="s">
        <v>513</v>
      </c>
      <c r="E197" s="17" t="s">
        <v>433</v>
      </c>
      <c r="F197" s="8" t="n">
        <v>400000</v>
      </c>
    </row>
    <row r="198" customFormat="false" ht="15" hidden="false" customHeight="true" outlineLevel="0" collapsed="false">
      <c r="B198" s="9" t="n">
        <v>4</v>
      </c>
      <c r="C198" s="9" t="s">
        <v>514</v>
      </c>
      <c r="D198" s="17" t="s">
        <v>214</v>
      </c>
      <c r="E198" s="17" t="s">
        <v>489</v>
      </c>
      <c r="F198" s="8" t="n">
        <v>300000</v>
      </c>
    </row>
    <row r="199" customFormat="false" ht="15" hidden="false" customHeight="true" outlineLevel="0" collapsed="false">
      <c r="B199" s="9" t="n">
        <v>5</v>
      </c>
      <c r="C199" s="9" t="s">
        <v>515</v>
      </c>
      <c r="D199" s="17" t="s">
        <v>202</v>
      </c>
      <c r="E199" s="17" t="s">
        <v>516</v>
      </c>
      <c r="F199" s="8" t="n">
        <v>300000</v>
      </c>
    </row>
    <row r="200" customFormat="false" ht="15" hidden="false" customHeight="true" outlineLevel="0" collapsed="false">
      <c r="B200" s="23"/>
      <c r="C200" s="23"/>
      <c r="D200" s="23" t="s">
        <v>517</v>
      </c>
      <c r="E200" s="23" t="s">
        <v>518</v>
      </c>
      <c r="F200" s="11" t="n">
        <f aca="false">SUM(F195:F199)</f>
        <v>5000000</v>
      </c>
    </row>
    <row r="201" customFormat="false" ht="30" hidden="false" customHeight="true" outlineLevel="0" collapsed="false">
      <c r="B201" s="21" t="n">
        <v>25</v>
      </c>
      <c r="C201" s="21" t="s">
        <v>148</v>
      </c>
      <c r="D201" s="22" t="s">
        <v>149</v>
      </c>
      <c r="E201" s="22" t="s">
        <v>427</v>
      </c>
      <c r="F201" s="21"/>
    </row>
    <row r="202" customFormat="false" ht="15" hidden="false" customHeight="true" outlineLevel="0" collapsed="false">
      <c r="B202" s="9" t="n">
        <v>1</v>
      </c>
      <c r="C202" s="9" t="s">
        <v>519</v>
      </c>
      <c r="D202" s="17" t="s">
        <v>520</v>
      </c>
      <c r="E202" s="17" t="s">
        <v>521</v>
      </c>
      <c r="F202" s="8" t="n">
        <v>400000</v>
      </c>
    </row>
    <row r="203" customFormat="false" ht="15" hidden="false" customHeight="true" outlineLevel="0" collapsed="false">
      <c r="B203" s="9" t="n">
        <v>2</v>
      </c>
      <c r="C203" s="9" t="s">
        <v>522</v>
      </c>
      <c r="D203" s="17" t="s">
        <v>523</v>
      </c>
      <c r="E203" s="17" t="s">
        <v>524</v>
      </c>
      <c r="F203" s="8" t="n">
        <v>350000</v>
      </c>
    </row>
    <row r="204" customFormat="false" ht="15" hidden="false" customHeight="true" outlineLevel="0" collapsed="false">
      <c r="B204" s="9" t="n">
        <v>3</v>
      </c>
      <c r="C204" s="9" t="s">
        <v>525</v>
      </c>
      <c r="D204" s="17" t="s">
        <v>526</v>
      </c>
      <c r="E204" s="17" t="s">
        <v>463</v>
      </c>
      <c r="F204" s="8" t="n">
        <v>250000</v>
      </c>
    </row>
    <row r="205" customFormat="false" ht="15" hidden="false" customHeight="true" outlineLevel="0" collapsed="false">
      <c r="B205" s="9" t="n">
        <v>4</v>
      </c>
      <c r="C205" s="9" t="s">
        <v>527</v>
      </c>
      <c r="D205" s="17" t="s">
        <v>528</v>
      </c>
      <c r="E205" s="17" t="s">
        <v>466</v>
      </c>
      <c r="F205" s="8" t="n">
        <v>300000</v>
      </c>
    </row>
    <row r="206" customFormat="false" ht="15" hidden="false" customHeight="true" outlineLevel="0" collapsed="false">
      <c r="B206" s="9" t="n">
        <v>5</v>
      </c>
      <c r="C206" s="9" t="s">
        <v>529</v>
      </c>
      <c r="D206" s="17" t="s">
        <v>530</v>
      </c>
      <c r="E206" s="17" t="s">
        <v>531</v>
      </c>
      <c r="F206" s="8" t="n">
        <v>100000</v>
      </c>
    </row>
    <row r="207" customFormat="false" ht="15" hidden="false" customHeight="true" outlineLevel="0" collapsed="false">
      <c r="B207" s="9" t="n">
        <v>6</v>
      </c>
      <c r="C207" s="9" t="s">
        <v>532</v>
      </c>
      <c r="D207" s="17" t="s">
        <v>202</v>
      </c>
      <c r="E207" s="17" t="s">
        <v>230</v>
      </c>
      <c r="F207" s="8" t="n">
        <v>100000</v>
      </c>
    </row>
    <row r="208" customFormat="false" ht="15" hidden="false" customHeight="true" outlineLevel="0" collapsed="false">
      <c r="B208" s="23"/>
      <c r="C208" s="23"/>
      <c r="D208" s="23" t="s">
        <v>533</v>
      </c>
      <c r="E208" s="23" t="s">
        <v>534</v>
      </c>
      <c r="F208" s="11" t="n">
        <f aca="false">SUM(F202:F207)</f>
        <v>1500000</v>
      </c>
    </row>
    <row r="209" customFormat="false" ht="30" hidden="false" customHeight="true" outlineLevel="0" collapsed="false">
      <c r="B209" s="21" t="n">
        <v>26</v>
      </c>
      <c r="C209" s="21" t="s">
        <v>150</v>
      </c>
      <c r="D209" s="22" t="s">
        <v>151</v>
      </c>
      <c r="E209" s="22" t="s">
        <v>427</v>
      </c>
      <c r="F209" s="21"/>
    </row>
    <row r="210" customFormat="false" ht="15" hidden="false" customHeight="true" outlineLevel="0" collapsed="false">
      <c r="B210" s="9" t="n">
        <v>1</v>
      </c>
      <c r="C210" s="9" t="s">
        <v>535</v>
      </c>
      <c r="D210" s="17" t="s">
        <v>536</v>
      </c>
      <c r="E210" s="17" t="s">
        <v>466</v>
      </c>
      <c r="F210" s="8" t="n">
        <v>250000</v>
      </c>
    </row>
    <row r="211" customFormat="false" ht="15" hidden="false" customHeight="true" outlineLevel="0" collapsed="false">
      <c r="B211" s="9" t="n">
        <v>2</v>
      </c>
      <c r="C211" s="9" t="s">
        <v>537</v>
      </c>
      <c r="D211" s="17" t="s">
        <v>538</v>
      </c>
      <c r="E211" s="17" t="s">
        <v>433</v>
      </c>
      <c r="F211" s="8" t="n">
        <v>100000</v>
      </c>
    </row>
    <row r="212" customFormat="false" ht="15" hidden="false" customHeight="true" outlineLevel="0" collapsed="false">
      <c r="B212" s="9" t="n">
        <v>3</v>
      </c>
      <c r="C212" s="9" t="s">
        <v>539</v>
      </c>
      <c r="D212" s="17" t="s">
        <v>540</v>
      </c>
      <c r="E212" s="17" t="s">
        <v>439</v>
      </c>
      <c r="F212" s="8" t="n">
        <v>100000</v>
      </c>
    </row>
    <row r="213" customFormat="false" ht="15" hidden="false" customHeight="true" outlineLevel="0" collapsed="false">
      <c r="B213" s="9" t="n">
        <v>4</v>
      </c>
      <c r="C213" s="9" t="s">
        <v>541</v>
      </c>
      <c r="D213" s="17" t="s">
        <v>202</v>
      </c>
      <c r="E213" s="17" t="s">
        <v>474</v>
      </c>
      <c r="F213" s="8" t="n">
        <v>50000</v>
      </c>
    </row>
    <row r="214" customFormat="false" ht="15" hidden="false" customHeight="true" outlineLevel="0" collapsed="false">
      <c r="B214" s="23"/>
      <c r="C214" s="23"/>
      <c r="D214" s="23" t="s">
        <v>542</v>
      </c>
      <c r="E214" s="23" t="s">
        <v>543</v>
      </c>
      <c r="F214" s="11" t="n">
        <f aca="false">SUM(F210:F213)</f>
        <v>500000</v>
      </c>
    </row>
    <row r="215" customFormat="false" ht="15" hidden="false" customHeight="false" outlineLevel="0" collapsed="false"/>
    <row r="216" customFormat="false" ht="15" hidden="false" customHeight="false" outlineLevel="0" collapsed="false"/>
    <row r="217" customFormat="false" ht="15" hidden="false" customHeight="fals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D46"/>
    <pageSetUpPr fitToPage="false"/>
  </sheetPr>
  <dimension ref="B2:J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1" width="6"/>
    <col collapsed="false" customWidth="true" hidden="false" outlineLevel="0" max="3" min="3" style="1" width="10"/>
    <col collapsed="false" customWidth="true" hidden="false" outlineLevel="0" max="4" min="4" style="1" width="46"/>
    <col collapsed="false" customWidth="true" hidden="false" outlineLevel="0" max="5" min="5" style="1" width="9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24"/>
    <col collapsed="false" customWidth="true" hidden="false" outlineLevel="0" max="9" min="9" style="1" width="60"/>
    <col collapsed="false" customWidth="true" hidden="false" outlineLevel="0" max="10" min="10" style="1" width="40"/>
  </cols>
  <sheetData>
    <row r="2" customFormat="false" ht="30" hidden="false" customHeight="true" outlineLevel="0" collapsed="false">
      <c r="B2" s="24" t="s">
        <v>544</v>
      </c>
      <c r="C2" s="24"/>
      <c r="D2" s="24"/>
      <c r="E2" s="24"/>
      <c r="F2" s="24"/>
      <c r="G2" s="24"/>
      <c r="H2" s="24"/>
      <c r="I2" s="24"/>
      <c r="J2" s="24"/>
    </row>
    <row r="4" customFormat="false" ht="30" hidden="false" customHeight="true" outlineLevel="0" collapsed="false">
      <c r="B4" s="4" t="s">
        <v>77</v>
      </c>
      <c r="C4" s="25" t="s">
        <v>545</v>
      </c>
      <c r="D4" s="25"/>
      <c r="E4" s="25"/>
      <c r="F4" s="25"/>
      <c r="G4" s="25"/>
      <c r="H4" s="25"/>
      <c r="I4" s="25"/>
      <c r="J4" s="25"/>
    </row>
    <row r="5" customFormat="false" ht="30" hidden="false" customHeight="true" outlineLevel="0" collapsed="false">
      <c r="B5" s="4" t="s">
        <v>79</v>
      </c>
      <c r="C5" s="25" t="s">
        <v>546</v>
      </c>
      <c r="D5" s="25"/>
      <c r="E5" s="25"/>
      <c r="F5" s="25"/>
      <c r="G5" s="25"/>
      <c r="H5" s="25"/>
      <c r="I5" s="25"/>
      <c r="J5" s="25"/>
    </row>
    <row r="6" customFormat="false" ht="30" hidden="false" customHeight="true" outlineLevel="0" collapsed="false">
      <c r="B6" s="4" t="s">
        <v>547</v>
      </c>
      <c r="C6" s="25" t="s">
        <v>548</v>
      </c>
      <c r="D6" s="25"/>
      <c r="E6" s="25"/>
      <c r="F6" s="25"/>
      <c r="G6" s="25"/>
      <c r="H6" s="25"/>
      <c r="I6" s="25"/>
      <c r="J6" s="25"/>
    </row>
    <row r="7" customFormat="false" ht="30" hidden="false" customHeight="true" outlineLevel="0" collapsed="false">
      <c r="B7" s="4" t="s">
        <v>549</v>
      </c>
      <c r="C7" s="25" t="s">
        <v>550</v>
      </c>
      <c r="D7" s="25"/>
      <c r="E7" s="25"/>
      <c r="F7" s="25"/>
      <c r="G7" s="25"/>
      <c r="H7" s="25"/>
      <c r="I7" s="25"/>
      <c r="J7" s="25"/>
    </row>
    <row r="8" customFormat="false" ht="30" hidden="false" customHeight="true" outlineLevel="0" collapsed="false">
      <c r="B8" s="4" t="s">
        <v>551</v>
      </c>
      <c r="C8" s="25" t="s">
        <v>552</v>
      </c>
      <c r="D8" s="25"/>
      <c r="E8" s="25"/>
      <c r="F8" s="25"/>
      <c r="G8" s="25"/>
      <c r="H8" s="25"/>
      <c r="I8" s="25"/>
      <c r="J8" s="25"/>
    </row>
    <row r="10" customFormat="false" ht="21.75" hidden="false" customHeight="true" outlineLevel="0" collapsed="false">
      <c r="B10" s="26" t="s">
        <v>553</v>
      </c>
      <c r="C10" s="26"/>
      <c r="D10" s="26"/>
      <c r="E10" s="26"/>
      <c r="F10" s="26"/>
      <c r="G10" s="26"/>
      <c r="H10" s="26"/>
      <c r="I10" s="26"/>
      <c r="J10" s="26"/>
    </row>
    <row r="11" customFormat="false" ht="27.75" hidden="false" customHeight="true" outlineLevel="0" collapsed="false">
      <c r="B11" s="27" t="s">
        <v>16</v>
      </c>
      <c r="C11" s="27" t="s">
        <v>554</v>
      </c>
      <c r="D11" s="27" t="s">
        <v>88</v>
      </c>
      <c r="E11" s="27" t="s">
        <v>555</v>
      </c>
      <c r="F11" s="27" t="s">
        <v>556</v>
      </c>
      <c r="G11" s="27" t="s">
        <v>557</v>
      </c>
      <c r="H11" s="27" t="s">
        <v>558</v>
      </c>
      <c r="I11" s="27" t="s">
        <v>559</v>
      </c>
      <c r="J11" s="27" t="s">
        <v>551</v>
      </c>
    </row>
    <row r="12" customFormat="false" ht="21.75" hidden="false" customHeight="true" outlineLevel="0" collapsed="false">
      <c r="B12" s="26" t="s">
        <v>560</v>
      </c>
      <c r="C12" s="26"/>
      <c r="D12" s="26"/>
      <c r="E12" s="26"/>
      <c r="F12" s="26"/>
      <c r="G12" s="26"/>
      <c r="H12" s="26"/>
      <c r="I12" s="26"/>
      <c r="J12" s="26"/>
    </row>
    <row r="13" customFormat="false" ht="66" hidden="false" customHeight="true" outlineLevel="0" collapsed="false">
      <c r="B13" s="28" t="n">
        <v>1</v>
      </c>
      <c r="C13" s="28" t="s">
        <v>561</v>
      </c>
      <c r="D13" s="29" t="s">
        <v>562</v>
      </c>
      <c r="E13" s="28" t="s">
        <v>563</v>
      </c>
      <c r="F13" s="28" t="s">
        <v>563</v>
      </c>
      <c r="G13" s="29" t="s">
        <v>564</v>
      </c>
      <c r="H13" s="29" t="s">
        <v>565</v>
      </c>
      <c r="I13" s="30" t="s">
        <v>566</v>
      </c>
      <c r="J13" s="29" t="s">
        <v>567</v>
      </c>
    </row>
    <row r="14" customFormat="false" ht="36" hidden="false" customHeight="true" outlineLevel="0" collapsed="false">
      <c r="B14" s="28" t="n">
        <v>2</v>
      </c>
      <c r="C14" s="28" t="s">
        <v>561</v>
      </c>
      <c r="D14" s="29" t="s">
        <v>568</v>
      </c>
      <c r="E14" s="28" t="s">
        <v>563</v>
      </c>
      <c r="F14" s="28" t="s">
        <v>563</v>
      </c>
      <c r="G14" s="29" t="s">
        <v>569</v>
      </c>
      <c r="H14" s="29" t="s">
        <v>570</v>
      </c>
      <c r="I14" s="30" t="s">
        <v>571</v>
      </c>
      <c r="J14" s="29" t="s">
        <v>572</v>
      </c>
    </row>
    <row r="15" customFormat="false" ht="36" hidden="false" customHeight="true" outlineLevel="0" collapsed="false">
      <c r="B15" s="28" t="n">
        <v>3</v>
      </c>
      <c r="C15" s="28" t="s">
        <v>561</v>
      </c>
      <c r="D15" s="29" t="s">
        <v>573</v>
      </c>
      <c r="E15" s="28" t="s">
        <v>563</v>
      </c>
      <c r="F15" s="28" t="s">
        <v>563</v>
      </c>
      <c r="G15" s="29" t="s">
        <v>574</v>
      </c>
      <c r="H15" s="29" t="s">
        <v>575</v>
      </c>
      <c r="I15" s="30" t="s">
        <v>576</v>
      </c>
      <c r="J15" s="29" t="s">
        <v>577</v>
      </c>
    </row>
    <row r="16" customFormat="false" ht="51" hidden="false" customHeight="true" outlineLevel="0" collapsed="false">
      <c r="B16" s="28" t="n">
        <v>4</v>
      </c>
      <c r="C16" s="28" t="s">
        <v>561</v>
      </c>
      <c r="D16" s="29" t="s">
        <v>578</v>
      </c>
      <c r="E16" s="28" t="s">
        <v>563</v>
      </c>
      <c r="F16" s="28" t="s">
        <v>563</v>
      </c>
      <c r="G16" s="29" t="s">
        <v>579</v>
      </c>
      <c r="H16" s="29" t="s">
        <v>580</v>
      </c>
      <c r="I16" s="30" t="s">
        <v>581</v>
      </c>
      <c r="J16" s="29" t="s">
        <v>582</v>
      </c>
    </row>
    <row r="17" customFormat="false" ht="51" hidden="false" customHeight="true" outlineLevel="0" collapsed="false">
      <c r="B17" s="28" t="n">
        <v>5</v>
      </c>
      <c r="C17" s="28" t="s">
        <v>561</v>
      </c>
      <c r="D17" s="29" t="s">
        <v>583</v>
      </c>
      <c r="E17" s="28" t="s">
        <v>563</v>
      </c>
      <c r="F17" s="28" t="s">
        <v>563</v>
      </c>
      <c r="G17" s="29" t="s">
        <v>197</v>
      </c>
      <c r="H17" s="29" t="s">
        <v>584</v>
      </c>
      <c r="I17" s="30" t="s">
        <v>585</v>
      </c>
      <c r="J17" s="29" t="s">
        <v>586</v>
      </c>
    </row>
    <row r="18" customFormat="false" ht="36" hidden="false" customHeight="true" outlineLevel="0" collapsed="false">
      <c r="B18" s="28" t="n">
        <v>6</v>
      </c>
      <c r="C18" s="28" t="s">
        <v>561</v>
      </c>
      <c r="D18" s="29" t="s">
        <v>587</v>
      </c>
      <c r="E18" s="28" t="s">
        <v>563</v>
      </c>
      <c r="F18" s="28" t="s">
        <v>563</v>
      </c>
      <c r="G18" s="29" t="s">
        <v>588</v>
      </c>
      <c r="H18" s="29" t="s">
        <v>589</v>
      </c>
      <c r="I18" s="30" t="s">
        <v>585</v>
      </c>
      <c r="J18" s="29" t="s">
        <v>590</v>
      </c>
    </row>
    <row r="19" customFormat="false" ht="21.75" hidden="false" customHeight="true" outlineLevel="0" collapsed="false">
      <c r="B19" s="26" t="s">
        <v>591</v>
      </c>
      <c r="C19" s="26"/>
      <c r="D19" s="26"/>
      <c r="E19" s="26"/>
      <c r="F19" s="26"/>
      <c r="G19" s="26"/>
      <c r="H19" s="26"/>
      <c r="I19" s="26"/>
      <c r="J19" s="26"/>
    </row>
    <row r="20" customFormat="false" ht="51" hidden="false" customHeight="true" outlineLevel="0" collapsed="false">
      <c r="B20" s="28" t="n">
        <v>7</v>
      </c>
      <c r="C20" s="28" t="s">
        <v>91</v>
      </c>
      <c r="D20" s="29" t="s">
        <v>93</v>
      </c>
      <c r="E20" s="28" t="s">
        <v>94</v>
      </c>
      <c r="F20" s="31" t="n">
        <f aca="false">'Master of Price'!$G$12</f>
        <v>352000</v>
      </c>
      <c r="G20" s="29" t="s">
        <v>592</v>
      </c>
      <c r="H20" s="29" t="s">
        <v>593</v>
      </c>
      <c r="I20" s="30" t="s">
        <v>594</v>
      </c>
      <c r="J20" s="29" t="s">
        <v>595</v>
      </c>
    </row>
    <row r="21" customFormat="false" ht="51" hidden="false" customHeight="true" outlineLevel="0" collapsed="false">
      <c r="B21" s="28" t="n">
        <v>8</v>
      </c>
      <c r="C21" s="28" t="s">
        <v>91</v>
      </c>
      <c r="D21" s="29" t="s">
        <v>93</v>
      </c>
      <c r="E21" s="28" t="s">
        <v>94</v>
      </c>
      <c r="F21" s="31" t="n">
        <f aca="false">'Master of Price'!$G$12</f>
        <v>352000</v>
      </c>
      <c r="G21" s="29" t="s">
        <v>596</v>
      </c>
      <c r="H21" s="29" t="s">
        <v>597</v>
      </c>
      <c r="I21" s="30" t="s">
        <v>598</v>
      </c>
      <c r="J21" s="29" t="s">
        <v>599</v>
      </c>
    </row>
    <row r="22" customFormat="false" ht="51" hidden="false" customHeight="true" outlineLevel="0" collapsed="false">
      <c r="B22" s="28" t="n">
        <v>9</v>
      </c>
      <c r="C22" s="28" t="s">
        <v>91</v>
      </c>
      <c r="D22" s="29" t="s">
        <v>93</v>
      </c>
      <c r="E22" s="28" t="s">
        <v>94</v>
      </c>
      <c r="F22" s="31" t="n">
        <f aca="false">'Master of Price'!$G$12</f>
        <v>352000</v>
      </c>
      <c r="G22" s="29" t="s">
        <v>600</v>
      </c>
      <c r="H22" s="29" t="s">
        <v>601</v>
      </c>
      <c r="I22" s="30" t="s">
        <v>602</v>
      </c>
      <c r="J22" s="29" t="s">
        <v>603</v>
      </c>
    </row>
    <row r="23" customFormat="false" ht="51" hidden="false" customHeight="true" outlineLevel="0" collapsed="false">
      <c r="B23" s="28" t="n">
        <v>10</v>
      </c>
      <c r="C23" s="28" t="s">
        <v>95</v>
      </c>
      <c r="D23" s="29" t="s">
        <v>96</v>
      </c>
      <c r="E23" s="28" t="s">
        <v>94</v>
      </c>
      <c r="F23" s="31" t="n">
        <f aca="false">'Master of Price'!$G$13</f>
        <v>100000</v>
      </c>
      <c r="G23" s="29" t="s">
        <v>604</v>
      </c>
      <c r="H23" s="29" t="s">
        <v>605</v>
      </c>
      <c r="I23" s="30" t="s">
        <v>606</v>
      </c>
      <c r="J23" s="29" t="s">
        <v>607</v>
      </c>
    </row>
    <row r="24" customFormat="false" ht="51" hidden="false" customHeight="true" outlineLevel="0" collapsed="false">
      <c r="B24" s="28" t="n">
        <v>11</v>
      </c>
      <c r="C24" s="28" t="s">
        <v>95</v>
      </c>
      <c r="D24" s="29" t="s">
        <v>96</v>
      </c>
      <c r="E24" s="28" t="s">
        <v>94</v>
      </c>
      <c r="F24" s="31" t="n">
        <f aca="false">'Master of Price'!$G$13</f>
        <v>100000</v>
      </c>
      <c r="G24" s="29" t="s">
        <v>608</v>
      </c>
      <c r="H24" s="29" t="s">
        <v>609</v>
      </c>
      <c r="I24" s="30" t="s">
        <v>610</v>
      </c>
      <c r="J24" s="29" t="s">
        <v>611</v>
      </c>
    </row>
    <row r="25" customFormat="false" ht="51" hidden="false" customHeight="true" outlineLevel="0" collapsed="false">
      <c r="B25" s="28" t="n">
        <v>12</v>
      </c>
      <c r="C25" s="28" t="s">
        <v>97</v>
      </c>
      <c r="D25" s="29" t="s">
        <v>98</v>
      </c>
      <c r="E25" s="28" t="s">
        <v>94</v>
      </c>
      <c r="F25" s="31" t="n">
        <f aca="false">'Master of Price'!$G$14</f>
        <v>28000</v>
      </c>
      <c r="G25" s="29" t="s">
        <v>612</v>
      </c>
      <c r="H25" s="29" t="s">
        <v>613</v>
      </c>
      <c r="I25" s="30" t="s">
        <v>614</v>
      </c>
      <c r="J25" s="29" t="s">
        <v>615</v>
      </c>
    </row>
    <row r="26" customFormat="false" ht="36" hidden="false" customHeight="true" outlineLevel="0" collapsed="false">
      <c r="B26" s="28" t="n">
        <v>13</v>
      </c>
      <c r="C26" s="28" t="s">
        <v>97</v>
      </c>
      <c r="D26" s="29" t="s">
        <v>98</v>
      </c>
      <c r="E26" s="28" t="s">
        <v>94</v>
      </c>
      <c r="F26" s="31" t="n">
        <f aca="false">'Master of Price'!$G$14</f>
        <v>28000</v>
      </c>
      <c r="G26" s="29" t="s">
        <v>616</v>
      </c>
      <c r="H26" s="29" t="s">
        <v>617</v>
      </c>
      <c r="I26" s="30" t="s">
        <v>618</v>
      </c>
      <c r="J26" s="29" t="s">
        <v>619</v>
      </c>
    </row>
    <row r="27" customFormat="false" ht="51" hidden="false" customHeight="true" outlineLevel="0" collapsed="false">
      <c r="B27" s="28" t="n">
        <v>14</v>
      </c>
      <c r="C27" s="28" t="s">
        <v>99</v>
      </c>
      <c r="D27" s="29" t="s">
        <v>100</v>
      </c>
      <c r="E27" s="28" t="s">
        <v>94</v>
      </c>
      <c r="F27" s="31" t="n">
        <f aca="false">'Master of Price'!$G$15</f>
        <v>45000</v>
      </c>
      <c r="G27" s="29" t="s">
        <v>620</v>
      </c>
      <c r="H27" s="29" t="s">
        <v>621</v>
      </c>
      <c r="I27" s="30" t="s">
        <v>622</v>
      </c>
      <c r="J27" s="29" t="s">
        <v>623</v>
      </c>
    </row>
    <row r="28" customFormat="false" ht="36" hidden="false" customHeight="true" outlineLevel="0" collapsed="false">
      <c r="B28" s="28" t="n">
        <v>15</v>
      </c>
      <c r="C28" s="28" t="s">
        <v>99</v>
      </c>
      <c r="D28" s="29" t="s">
        <v>100</v>
      </c>
      <c r="E28" s="28" t="s">
        <v>94</v>
      </c>
      <c r="F28" s="31" t="n">
        <f aca="false">'Master of Price'!$G$15</f>
        <v>45000</v>
      </c>
      <c r="G28" s="29" t="s">
        <v>624</v>
      </c>
      <c r="H28" s="29" t="s">
        <v>625</v>
      </c>
      <c r="I28" s="30" t="s">
        <v>626</v>
      </c>
      <c r="J28" s="29" t="s">
        <v>627</v>
      </c>
    </row>
    <row r="29" customFormat="false" ht="51" hidden="false" customHeight="true" outlineLevel="0" collapsed="false">
      <c r="B29" s="28" t="n">
        <v>16</v>
      </c>
      <c r="C29" s="28" t="s">
        <v>101</v>
      </c>
      <c r="D29" s="29" t="s">
        <v>102</v>
      </c>
      <c r="E29" s="28" t="s">
        <v>94</v>
      </c>
      <c r="F29" s="31" t="n">
        <f aca="false">'Master of Price'!$G$16</f>
        <v>75000</v>
      </c>
      <c r="G29" s="29" t="s">
        <v>628</v>
      </c>
      <c r="H29" s="29" t="s">
        <v>629</v>
      </c>
      <c r="I29" s="30" t="s">
        <v>630</v>
      </c>
      <c r="J29" s="29" t="s">
        <v>631</v>
      </c>
    </row>
    <row r="30" customFormat="false" ht="36" hidden="false" customHeight="true" outlineLevel="0" collapsed="false">
      <c r="B30" s="28" t="n">
        <v>17</v>
      </c>
      <c r="C30" s="28" t="s">
        <v>101</v>
      </c>
      <c r="D30" s="29" t="s">
        <v>102</v>
      </c>
      <c r="E30" s="28" t="s">
        <v>94</v>
      </c>
      <c r="F30" s="31" t="n">
        <f aca="false">'Master of Price'!$G$16</f>
        <v>75000</v>
      </c>
      <c r="G30" s="29" t="s">
        <v>632</v>
      </c>
      <c r="H30" s="29" t="s">
        <v>633</v>
      </c>
      <c r="I30" s="30" t="s">
        <v>634</v>
      </c>
      <c r="J30" s="29" t="s">
        <v>635</v>
      </c>
    </row>
    <row r="31" customFormat="false" ht="51" hidden="false" customHeight="true" outlineLevel="0" collapsed="false">
      <c r="B31" s="28" t="n">
        <v>18</v>
      </c>
      <c r="C31" s="28" t="s">
        <v>103</v>
      </c>
      <c r="D31" s="29" t="s">
        <v>104</v>
      </c>
      <c r="E31" s="28" t="s">
        <v>94</v>
      </c>
      <c r="F31" s="31" t="n">
        <f aca="false">'Master of Price'!$G$17</f>
        <v>352000</v>
      </c>
      <c r="G31" s="29" t="s">
        <v>636</v>
      </c>
      <c r="H31" s="29" t="s">
        <v>637</v>
      </c>
      <c r="I31" s="30" t="s">
        <v>594</v>
      </c>
      <c r="J31" s="29" t="s">
        <v>638</v>
      </c>
    </row>
    <row r="32" customFormat="false" ht="51" hidden="false" customHeight="true" outlineLevel="0" collapsed="false">
      <c r="B32" s="28" t="n">
        <v>19</v>
      </c>
      <c r="C32" s="28" t="s">
        <v>105</v>
      </c>
      <c r="D32" s="29" t="s">
        <v>106</v>
      </c>
      <c r="E32" s="28" t="s">
        <v>94</v>
      </c>
      <c r="F32" s="31" t="n">
        <f aca="false">'Master of Price'!$G$18</f>
        <v>352000</v>
      </c>
      <c r="G32" s="29" t="s">
        <v>636</v>
      </c>
      <c r="H32" s="29" t="s">
        <v>601</v>
      </c>
      <c r="I32" s="30" t="s">
        <v>602</v>
      </c>
      <c r="J32" s="29" t="s">
        <v>639</v>
      </c>
    </row>
    <row r="33" customFormat="false" ht="51" hidden="false" customHeight="true" outlineLevel="0" collapsed="false">
      <c r="B33" s="28" t="n">
        <v>20</v>
      </c>
      <c r="C33" s="28" t="s">
        <v>107</v>
      </c>
      <c r="D33" s="29" t="s">
        <v>108</v>
      </c>
      <c r="E33" s="28" t="s">
        <v>94</v>
      </c>
      <c r="F33" s="31" t="n">
        <f aca="false">'Master of Price'!$G$19</f>
        <v>352000</v>
      </c>
      <c r="G33" s="29" t="s">
        <v>640</v>
      </c>
      <c r="H33" s="29" t="s">
        <v>641</v>
      </c>
      <c r="I33" s="30" t="s">
        <v>642</v>
      </c>
      <c r="J33" s="29" t="s">
        <v>643</v>
      </c>
    </row>
    <row r="34" customFormat="false" ht="51" hidden="false" customHeight="true" outlineLevel="0" collapsed="false">
      <c r="B34" s="28" t="n">
        <v>21</v>
      </c>
      <c r="C34" s="28" t="s">
        <v>109</v>
      </c>
      <c r="D34" s="29" t="s">
        <v>110</v>
      </c>
      <c r="E34" s="28" t="s">
        <v>94</v>
      </c>
      <c r="F34" s="31" t="n">
        <f aca="false">'Master of Price'!$G$20</f>
        <v>352000</v>
      </c>
      <c r="G34" s="29" t="s">
        <v>636</v>
      </c>
      <c r="H34" s="29" t="s">
        <v>637</v>
      </c>
      <c r="I34" s="30" t="s">
        <v>594</v>
      </c>
      <c r="J34" s="29" t="s">
        <v>644</v>
      </c>
    </row>
    <row r="35" customFormat="false" ht="21.75" hidden="false" customHeight="true" outlineLevel="0" collapsed="false">
      <c r="B35" s="26" t="s">
        <v>645</v>
      </c>
      <c r="C35" s="26"/>
      <c r="D35" s="26"/>
      <c r="E35" s="26"/>
      <c r="F35" s="26"/>
      <c r="G35" s="26"/>
      <c r="H35" s="26"/>
      <c r="I35" s="26"/>
      <c r="J35" s="26"/>
    </row>
    <row r="36" customFormat="false" ht="51" hidden="false" customHeight="true" outlineLevel="0" collapsed="false">
      <c r="B36" s="28" t="n">
        <v>22</v>
      </c>
      <c r="C36" s="28" t="s">
        <v>111</v>
      </c>
      <c r="D36" s="29" t="s">
        <v>113</v>
      </c>
      <c r="E36" s="28" t="s">
        <v>114</v>
      </c>
      <c r="F36" s="31" t="n">
        <f aca="false">'Master of Price'!$G$21</f>
        <v>1000000</v>
      </c>
      <c r="G36" s="29" t="s">
        <v>646</v>
      </c>
      <c r="H36" s="29" t="s">
        <v>647</v>
      </c>
      <c r="I36" s="30" t="s">
        <v>648</v>
      </c>
      <c r="J36" s="29" t="s">
        <v>649</v>
      </c>
    </row>
    <row r="37" customFormat="false" ht="51" hidden="false" customHeight="true" outlineLevel="0" collapsed="false">
      <c r="B37" s="28" t="n">
        <v>23</v>
      </c>
      <c r="C37" s="28" t="s">
        <v>111</v>
      </c>
      <c r="D37" s="29" t="s">
        <v>113</v>
      </c>
      <c r="E37" s="28" t="s">
        <v>114</v>
      </c>
      <c r="F37" s="31" t="n">
        <f aca="false">'Master of Price'!$G$21</f>
        <v>1000000</v>
      </c>
      <c r="G37" s="29" t="s">
        <v>650</v>
      </c>
      <c r="H37" s="29" t="s">
        <v>651</v>
      </c>
      <c r="I37" s="30" t="s">
        <v>652</v>
      </c>
      <c r="J37" s="29" t="s">
        <v>653</v>
      </c>
    </row>
    <row r="38" customFormat="false" ht="51" hidden="false" customHeight="true" outlineLevel="0" collapsed="false">
      <c r="B38" s="28" t="n">
        <v>24</v>
      </c>
      <c r="C38" s="28" t="s">
        <v>115</v>
      </c>
      <c r="D38" s="29" t="s">
        <v>116</v>
      </c>
      <c r="E38" s="28" t="s">
        <v>114</v>
      </c>
      <c r="F38" s="31" t="n">
        <f aca="false">'Master of Price'!$G$22</f>
        <v>47500</v>
      </c>
      <c r="G38" s="29" t="s">
        <v>654</v>
      </c>
      <c r="H38" s="29" t="s">
        <v>655</v>
      </c>
      <c r="I38" s="30" t="s">
        <v>656</v>
      </c>
      <c r="J38" s="29" t="s">
        <v>657</v>
      </c>
    </row>
    <row r="39" customFormat="false" ht="36" hidden="false" customHeight="true" outlineLevel="0" collapsed="false">
      <c r="B39" s="28" t="n">
        <v>25</v>
      </c>
      <c r="C39" s="28" t="s">
        <v>115</v>
      </c>
      <c r="D39" s="29" t="s">
        <v>116</v>
      </c>
      <c r="E39" s="28" t="s">
        <v>114</v>
      </c>
      <c r="F39" s="31" t="n">
        <f aca="false">'Master of Price'!$G$22</f>
        <v>47500</v>
      </c>
      <c r="G39" s="29" t="s">
        <v>658</v>
      </c>
      <c r="H39" s="29" t="s">
        <v>659</v>
      </c>
      <c r="I39" s="30" t="s">
        <v>585</v>
      </c>
      <c r="J39" s="29" t="s">
        <v>660</v>
      </c>
    </row>
    <row r="40" customFormat="false" ht="51" hidden="false" customHeight="true" outlineLevel="0" collapsed="false">
      <c r="B40" s="28" t="n">
        <v>26</v>
      </c>
      <c r="C40" s="28" t="s">
        <v>117</v>
      </c>
      <c r="D40" s="29" t="s">
        <v>118</v>
      </c>
      <c r="E40" s="28" t="s">
        <v>114</v>
      </c>
      <c r="F40" s="31" t="n">
        <f aca="false">'Master of Price'!$G$23</f>
        <v>90000</v>
      </c>
      <c r="G40" s="29" t="s">
        <v>661</v>
      </c>
      <c r="H40" s="29" t="s">
        <v>629</v>
      </c>
      <c r="I40" s="30" t="s">
        <v>642</v>
      </c>
      <c r="J40" s="29" t="s">
        <v>662</v>
      </c>
    </row>
    <row r="41" customFormat="false" ht="36" hidden="false" customHeight="true" outlineLevel="0" collapsed="false">
      <c r="B41" s="28" t="n">
        <v>27</v>
      </c>
      <c r="C41" s="28" t="s">
        <v>117</v>
      </c>
      <c r="D41" s="29" t="s">
        <v>118</v>
      </c>
      <c r="E41" s="28" t="s">
        <v>114</v>
      </c>
      <c r="F41" s="31" t="n">
        <f aca="false">'Master of Price'!$G$23</f>
        <v>90000</v>
      </c>
      <c r="G41" s="29" t="s">
        <v>663</v>
      </c>
      <c r="H41" s="29" t="s">
        <v>664</v>
      </c>
      <c r="I41" s="30" t="s">
        <v>665</v>
      </c>
      <c r="J41" s="29" t="s">
        <v>666</v>
      </c>
    </row>
    <row r="42" customFormat="false" ht="51" hidden="false" customHeight="true" outlineLevel="0" collapsed="false">
      <c r="B42" s="28" t="n">
        <v>28</v>
      </c>
      <c r="C42" s="28" t="s">
        <v>119</v>
      </c>
      <c r="D42" s="29" t="s">
        <v>120</v>
      </c>
      <c r="E42" s="28" t="s">
        <v>114</v>
      </c>
      <c r="F42" s="31" t="n">
        <f aca="false">'Master of Price'!$G$24</f>
        <v>130000</v>
      </c>
      <c r="G42" s="29" t="s">
        <v>667</v>
      </c>
      <c r="H42" s="29" t="s">
        <v>668</v>
      </c>
      <c r="I42" s="30" t="s">
        <v>669</v>
      </c>
      <c r="J42" s="29" t="s">
        <v>670</v>
      </c>
    </row>
    <row r="43" customFormat="false" ht="51" hidden="false" customHeight="true" outlineLevel="0" collapsed="false">
      <c r="B43" s="28" t="n">
        <v>29</v>
      </c>
      <c r="C43" s="28" t="s">
        <v>121</v>
      </c>
      <c r="D43" s="29" t="s">
        <v>122</v>
      </c>
      <c r="E43" s="28" t="s">
        <v>114</v>
      </c>
      <c r="F43" s="31" t="n">
        <f aca="false">'Master of Price'!$G$25</f>
        <v>700000</v>
      </c>
      <c r="G43" s="29" t="s">
        <v>671</v>
      </c>
      <c r="H43" s="29" t="s">
        <v>672</v>
      </c>
      <c r="I43" s="30" t="s">
        <v>673</v>
      </c>
      <c r="J43" s="29" t="s">
        <v>674</v>
      </c>
    </row>
    <row r="44" customFormat="false" ht="36" hidden="false" customHeight="true" outlineLevel="0" collapsed="false">
      <c r="B44" s="28" t="n">
        <v>30</v>
      </c>
      <c r="C44" s="28" t="s">
        <v>121</v>
      </c>
      <c r="D44" s="29" t="s">
        <v>122</v>
      </c>
      <c r="E44" s="28" t="s">
        <v>114</v>
      </c>
      <c r="F44" s="31" t="n">
        <f aca="false">'Master of Price'!$G$25</f>
        <v>700000</v>
      </c>
      <c r="G44" s="29" t="s">
        <v>675</v>
      </c>
      <c r="H44" s="29" t="s">
        <v>676</v>
      </c>
      <c r="I44" s="30" t="s">
        <v>677</v>
      </c>
      <c r="J44" s="29" t="s">
        <v>678</v>
      </c>
    </row>
    <row r="45" customFormat="false" ht="51" hidden="false" customHeight="true" outlineLevel="0" collapsed="false">
      <c r="B45" s="28" t="n">
        <v>31</v>
      </c>
      <c r="C45" s="28" t="s">
        <v>123</v>
      </c>
      <c r="D45" s="29" t="s">
        <v>124</v>
      </c>
      <c r="E45" s="28" t="s">
        <v>114</v>
      </c>
      <c r="F45" s="31" t="n">
        <f aca="false">'Master of Price'!$G$26</f>
        <v>1000000</v>
      </c>
      <c r="G45" s="29" t="s">
        <v>679</v>
      </c>
      <c r="H45" s="29" t="s">
        <v>680</v>
      </c>
      <c r="I45" s="30" t="s">
        <v>681</v>
      </c>
      <c r="J45" s="29" t="s">
        <v>682</v>
      </c>
    </row>
    <row r="46" customFormat="false" ht="51" hidden="false" customHeight="true" outlineLevel="0" collapsed="false">
      <c r="B46" s="28" t="n">
        <v>32</v>
      </c>
      <c r="C46" s="28" t="s">
        <v>123</v>
      </c>
      <c r="D46" s="29" t="s">
        <v>124</v>
      </c>
      <c r="E46" s="28" t="s">
        <v>114</v>
      </c>
      <c r="F46" s="31" t="n">
        <f aca="false">'Master of Price'!$G$26</f>
        <v>1000000</v>
      </c>
      <c r="G46" s="29" t="s">
        <v>683</v>
      </c>
      <c r="H46" s="29" t="s">
        <v>684</v>
      </c>
      <c r="I46" s="30" t="s">
        <v>685</v>
      </c>
      <c r="J46" s="29" t="s">
        <v>686</v>
      </c>
    </row>
    <row r="47" customFormat="false" ht="51" hidden="false" customHeight="true" outlineLevel="0" collapsed="false">
      <c r="B47" s="28" t="n">
        <v>33</v>
      </c>
      <c r="C47" s="28" t="s">
        <v>125</v>
      </c>
      <c r="D47" s="29" t="s">
        <v>126</v>
      </c>
      <c r="E47" s="28" t="s">
        <v>114</v>
      </c>
      <c r="F47" s="31" t="n">
        <f aca="false">'Master of Price'!$G$27</f>
        <v>1200000</v>
      </c>
      <c r="G47" s="29" t="s">
        <v>687</v>
      </c>
      <c r="H47" s="29" t="s">
        <v>688</v>
      </c>
      <c r="I47" s="30" t="s">
        <v>689</v>
      </c>
      <c r="J47" s="29" t="s">
        <v>690</v>
      </c>
    </row>
    <row r="48" customFormat="false" ht="81" hidden="false" customHeight="true" outlineLevel="0" collapsed="false">
      <c r="B48" s="28" t="n">
        <v>34</v>
      </c>
      <c r="C48" s="28" t="s">
        <v>127</v>
      </c>
      <c r="D48" s="29" t="s">
        <v>128</v>
      </c>
      <c r="E48" s="28" t="s">
        <v>129</v>
      </c>
      <c r="F48" s="31" t="n">
        <f aca="false">'Master of Price'!$G$28</f>
        <v>4500000</v>
      </c>
      <c r="G48" s="29" t="s">
        <v>691</v>
      </c>
      <c r="H48" s="29" t="s">
        <v>692</v>
      </c>
      <c r="I48" s="30" t="s">
        <v>693</v>
      </c>
      <c r="J48" s="29" t="s">
        <v>694</v>
      </c>
    </row>
    <row r="49" customFormat="false" ht="81" hidden="false" customHeight="true" outlineLevel="0" collapsed="false">
      <c r="B49" s="28" t="n">
        <v>35</v>
      </c>
      <c r="C49" s="28" t="s">
        <v>127</v>
      </c>
      <c r="D49" s="29" t="s">
        <v>128</v>
      </c>
      <c r="E49" s="28" t="s">
        <v>129</v>
      </c>
      <c r="F49" s="31" t="n">
        <f aca="false">'Master of Price'!$G$28</f>
        <v>4500000</v>
      </c>
      <c r="G49" s="29" t="s">
        <v>695</v>
      </c>
      <c r="H49" s="29" t="s">
        <v>696</v>
      </c>
      <c r="I49" s="30" t="s">
        <v>697</v>
      </c>
      <c r="J49" s="29" t="s">
        <v>698</v>
      </c>
    </row>
    <row r="50" customFormat="false" ht="21.75" hidden="false" customHeight="true" outlineLevel="0" collapsed="false">
      <c r="B50" s="26" t="s">
        <v>699</v>
      </c>
      <c r="C50" s="26"/>
      <c r="D50" s="26"/>
      <c r="E50" s="26"/>
      <c r="F50" s="26"/>
      <c r="G50" s="26"/>
      <c r="H50" s="26"/>
      <c r="I50" s="26"/>
      <c r="J50" s="26"/>
    </row>
    <row r="51" customFormat="false" ht="66" hidden="false" customHeight="true" outlineLevel="0" collapsed="false">
      <c r="B51" s="28" t="n">
        <v>36</v>
      </c>
      <c r="C51" s="28" t="s">
        <v>130</v>
      </c>
      <c r="D51" s="29" t="s">
        <v>132</v>
      </c>
      <c r="E51" s="28" t="s">
        <v>133</v>
      </c>
      <c r="F51" s="31" t="n">
        <f aca="false">'Master of Price'!$G$29</f>
        <v>24000000</v>
      </c>
      <c r="G51" s="29" t="s">
        <v>700</v>
      </c>
      <c r="H51" s="29" t="s">
        <v>701</v>
      </c>
      <c r="I51" s="30" t="s">
        <v>702</v>
      </c>
      <c r="J51" s="29" t="s">
        <v>703</v>
      </c>
    </row>
    <row r="52" customFormat="false" ht="66" hidden="false" customHeight="true" outlineLevel="0" collapsed="false">
      <c r="B52" s="28" t="n">
        <v>37</v>
      </c>
      <c r="C52" s="28" t="s">
        <v>130</v>
      </c>
      <c r="D52" s="29" t="s">
        <v>132</v>
      </c>
      <c r="E52" s="28" t="s">
        <v>133</v>
      </c>
      <c r="F52" s="31" t="n">
        <f aca="false">'Master of Price'!$G$29</f>
        <v>24000000</v>
      </c>
      <c r="G52" s="29" t="s">
        <v>704</v>
      </c>
      <c r="H52" s="29" t="s">
        <v>705</v>
      </c>
      <c r="I52" s="30" t="s">
        <v>706</v>
      </c>
      <c r="J52" s="29" t="s">
        <v>707</v>
      </c>
    </row>
    <row r="53" customFormat="false" ht="66" hidden="false" customHeight="true" outlineLevel="0" collapsed="false">
      <c r="B53" s="28" t="n">
        <v>38</v>
      </c>
      <c r="C53" s="28" t="s">
        <v>130</v>
      </c>
      <c r="D53" s="29" t="s">
        <v>132</v>
      </c>
      <c r="E53" s="28" t="s">
        <v>133</v>
      </c>
      <c r="F53" s="31" t="n">
        <f aca="false">'Master of Price'!$G$29</f>
        <v>24000000</v>
      </c>
      <c r="G53" s="29" t="s">
        <v>708</v>
      </c>
      <c r="H53" s="29" t="s">
        <v>709</v>
      </c>
      <c r="I53" s="30" t="s">
        <v>710</v>
      </c>
      <c r="J53" s="29" t="s">
        <v>711</v>
      </c>
    </row>
    <row r="54" customFormat="false" ht="66" hidden="false" customHeight="true" outlineLevel="0" collapsed="false">
      <c r="B54" s="28" t="n">
        <v>39</v>
      </c>
      <c r="C54" s="28" t="s">
        <v>130</v>
      </c>
      <c r="D54" s="29" t="s">
        <v>132</v>
      </c>
      <c r="E54" s="28" t="s">
        <v>133</v>
      </c>
      <c r="F54" s="31" t="n">
        <f aca="false">'Master of Price'!$G$29</f>
        <v>24000000</v>
      </c>
      <c r="G54" s="29" t="s">
        <v>712</v>
      </c>
      <c r="H54" s="29" t="s">
        <v>713</v>
      </c>
      <c r="I54" s="30" t="s">
        <v>714</v>
      </c>
      <c r="J54" s="29" t="s">
        <v>715</v>
      </c>
    </row>
    <row r="55" customFormat="false" ht="66" hidden="false" customHeight="true" outlineLevel="0" collapsed="false">
      <c r="B55" s="28" t="n">
        <v>40</v>
      </c>
      <c r="C55" s="28" t="s">
        <v>130</v>
      </c>
      <c r="D55" s="29" t="s">
        <v>132</v>
      </c>
      <c r="E55" s="28" t="s">
        <v>133</v>
      </c>
      <c r="F55" s="31" t="n">
        <f aca="false">'Master of Price'!$G$29</f>
        <v>24000000</v>
      </c>
      <c r="G55" s="29" t="s">
        <v>716</v>
      </c>
      <c r="H55" s="29" t="s">
        <v>717</v>
      </c>
      <c r="I55" s="30" t="s">
        <v>718</v>
      </c>
      <c r="J55" s="29" t="s">
        <v>719</v>
      </c>
    </row>
    <row r="56" customFormat="false" ht="51" hidden="false" customHeight="true" outlineLevel="0" collapsed="false">
      <c r="B56" s="28" t="n">
        <v>41</v>
      </c>
      <c r="C56" s="28" t="s">
        <v>134</v>
      </c>
      <c r="D56" s="29" t="s">
        <v>135</v>
      </c>
      <c r="E56" s="28" t="s">
        <v>136</v>
      </c>
      <c r="F56" s="31" t="n">
        <f aca="false">'Master of Price'!$G$30</f>
        <v>1500000</v>
      </c>
      <c r="G56" s="29" t="s">
        <v>720</v>
      </c>
      <c r="H56" s="29" t="s">
        <v>721</v>
      </c>
      <c r="I56" s="30" t="s">
        <v>585</v>
      </c>
      <c r="J56" s="29" t="s">
        <v>722</v>
      </c>
    </row>
    <row r="57" customFormat="false" ht="51" hidden="false" customHeight="true" outlineLevel="0" collapsed="false">
      <c r="B57" s="28" t="n">
        <v>42</v>
      </c>
      <c r="C57" s="28" t="s">
        <v>137</v>
      </c>
      <c r="D57" s="29" t="s">
        <v>138</v>
      </c>
      <c r="E57" s="28" t="s">
        <v>133</v>
      </c>
      <c r="F57" s="31" t="n">
        <f aca="false">'Master of Price'!$G$31</f>
        <v>2100000</v>
      </c>
      <c r="G57" s="29" t="s">
        <v>723</v>
      </c>
      <c r="H57" s="29" t="s">
        <v>724</v>
      </c>
      <c r="I57" s="30" t="s">
        <v>725</v>
      </c>
      <c r="J57" s="29" t="s">
        <v>726</v>
      </c>
    </row>
    <row r="58" customFormat="false" ht="36" hidden="false" customHeight="true" outlineLevel="0" collapsed="false">
      <c r="B58" s="28" t="n">
        <v>43</v>
      </c>
      <c r="C58" s="28" t="s">
        <v>137</v>
      </c>
      <c r="D58" s="29" t="s">
        <v>138</v>
      </c>
      <c r="E58" s="28" t="s">
        <v>133</v>
      </c>
      <c r="F58" s="31" t="n">
        <f aca="false">'Master of Price'!$G$31</f>
        <v>2100000</v>
      </c>
      <c r="G58" s="29" t="s">
        <v>727</v>
      </c>
      <c r="H58" s="29" t="s">
        <v>728</v>
      </c>
      <c r="I58" s="30" t="s">
        <v>729</v>
      </c>
      <c r="J58" s="29" t="s">
        <v>730</v>
      </c>
    </row>
    <row r="59" customFormat="false" ht="36" hidden="false" customHeight="true" outlineLevel="0" collapsed="false">
      <c r="B59" s="28" t="n">
        <v>44</v>
      </c>
      <c r="C59" s="28" t="s">
        <v>137</v>
      </c>
      <c r="D59" s="29" t="s">
        <v>138</v>
      </c>
      <c r="E59" s="28" t="s">
        <v>133</v>
      </c>
      <c r="F59" s="31" t="n">
        <f aca="false">'Master of Price'!$G$31</f>
        <v>2100000</v>
      </c>
      <c r="G59" s="29" t="s">
        <v>731</v>
      </c>
      <c r="H59" s="29" t="s">
        <v>732</v>
      </c>
      <c r="I59" s="30" t="s">
        <v>733</v>
      </c>
      <c r="J59" s="29" t="s">
        <v>734</v>
      </c>
    </row>
    <row r="60" customFormat="false" ht="36" hidden="false" customHeight="true" outlineLevel="0" collapsed="false">
      <c r="B60" s="28" t="n">
        <v>45</v>
      </c>
      <c r="C60" s="28" t="s">
        <v>137</v>
      </c>
      <c r="D60" s="29" t="s">
        <v>138</v>
      </c>
      <c r="E60" s="28" t="s">
        <v>133</v>
      </c>
      <c r="F60" s="31" t="n">
        <f aca="false">'Master of Price'!$G$31</f>
        <v>2100000</v>
      </c>
      <c r="G60" s="29" t="s">
        <v>735</v>
      </c>
      <c r="H60" s="29" t="s">
        <v>736</v>
      </c>
      <c r="I60" s="30" t="s">
        <v>737</v>
      </c>
      <c r="J60" s="29" t="s">
        <v>738</v>
      </c>
    </row>
    <row r="61" customFormat="false" ht="51" hidden="false" customHeight="true" outlineLevel="0" collapsed="false">
      <c r="B61" s="28" t="n">
        <v>46</v>
      </c>
      <c r="C61" s="28" t="s">
        <v>139</v>
      </c>
      <c r="D61" s="29" t="s">
        <v>140</v>
      </c>
      <c r="E61" s="28" t="s">
        <v>136</v>
      </c>
      <c r="F61" s="31" t="n">
        <f aca="false">'Master of Price'!$G$32</f>
        <v>2500000</v>
      </c>
      <c r="G61" s="29" t="s">
        <v>739</v>
      </c>
      <c r="H61" s="29" t="s">
        <v>740</v>
      </c>
      <c r="I61" s="30" t="s">
        <v>581</v>
      </c>
      <c r="J61" s="29" t="s">
        <v>741</v>
      </c>
    </row>
    <row r="62" customFormat="false" ht="21.75" hidden="false" customHeight="true" outlineLevel="0" collapsed="false">
      <c r="B62" s="26" t="s">
        <v>742</v>
      </c>
      <c r="C62" s="26"/>
      <c r="D62" s="26"/>
      <c r="E62" s="26"/>
      <c r="F62" s="26"/>
      <c r="G62" s="26"/>
      <c r="H62" s="26"/>
      <c r="I62" s="26"/>
      <c r="J62" s="26"/>
    </row>
    <row r="63" customFormat="false" ht="51" hidden="false" customHeight="true" outlineLevel="0" collapsed="false">
      <c r="B63" s="28" t="n">
        <v>47</v>
      </c>
      <c r="C63" s="28" t="s">
        <v>141</v>
      </c>
      <c r="D63" s="29" t="s">
        <v>143</v>
      </c>
      <c r="E63" s="28" t="s">
        <v>133</v>
      </c>
      <c r="F63" s="31" t="n">
        <f aca="false">'Master of Price'!$G$33</f>
        <v>12500000</v>
      </c>
      <c r="G63" s="29" t="s">
        <v>743</v>
      </c>
      <c r="H63" s="29" t="s">
        <v>744</v>
      </c>
      <c r="I63" s="30" t="s">
        <v>745</v>
      </c>
      <c r="J63" s="29" t="s">
        <v>746</v>
      </c>
    </row>
    <row r="64" customFormat="false" ht="51" hidden="false" customHeight="true" outlineLevel="0" collapsed="false">
      <c r="B64" s="28" t="n">
        <v>48</v>
      </c>
      <c r="C64" s="28" t="s">
        <v>141</v>
      </c>
      <c r="D64" s="29" t="s">
        <v>143</v>
      </c>
      <c r="E64" s="28" t="s">
        <v>133</v>
      </c>
      <c r="F64" s="31" t="n">
        <f aca="false">'Master of Price'!$G$33</f>
        <v>12500000</v>
      </c>
      <c r="G64" s="29" t="s">
        <v>747</v>
      </c>
      <c r="H64" s="29" t="s">
        <v>748</v>
      </c>
      <c r="I64" s="30" t="s">
        <v>749</v>
      </c>
      <c r="J64" s="29" t="s">
        <v>750</v>
      </c>
    </row>
    <row r="65" customFormat="false" ht="51" hidden="false" customHeight="true" outlineLevel="0" collapsed="false">
      <c r="B65" s="28" t="n">
        <v>49</v>
      </c>
      <c r="C65" s="28" t="s">
        <v>141</v>
      </c>
      <c r="D65" s="29" t="s">
        <v>143</v>
      </c>
      <c r="E65" s="28" t="s">
        <v>133</v>
      </c>
      <c r="F65" s="31" t="n">
        <f aca="false">'Master of Price'!$G$33</f>
        <v>12500000</v>
      </c>
      <c r="G65" s="29" t="s">
        <v>751</v>
      </c>
      <c r="H65" s="29" t="s">
        <v>752</v>
      </c>
      <c r="I65" s="30" t="s">
        <v>753</v>
      </c>
      <c r="J65" s="29" t="s">
        <v>754</v>
      </c>
    </row>
    <row r="66" customFormat="false" ht="51" hidden="false" customHeight="true" outlineLevel="0" collapsed="false">
      <c r="B66" s="28" t="n">
        <v>50</v>
      </c>
      <c r="C66" s="28" t="s">
        <v>141</v>
      </c>
      <c r="D66" s="29" t="s">
        <v>143</v>
      </c>
      <c r="E66" s="28" t="s">
        <v>133</v>
      </c>
      <c r="F66" s="31" t="n">
        <f aca="false">'Master of Price'!$G$33</f>
        <v>12500000</v>
      </c>
      <c r="G66" s="29" t="s">
        <v>755</v>
      </c>
      <c r="H66" s="29" t="s">
        <v>756</v>
      </c>
      <c r="I66" s="30" t="s">
        <v>757</v>
      </c>
      <c r="J66" s="29" t="s">
        <v>758</v>
      </c>
    </row>
    <row r="67" customFormat="false" ht="51" hidden="false" customHeight="true" outlineLevel="0" collapsed="false">
      <c r="B67" s="28" t="n">
        <v>51</v>
      </c>
      <c r="C67" s="28" t="s">
        <v>141</v>
      </c>
      <c r="D67" s="29" t="s">
        <v>143</v>
      </c>
      <c r="E67" s="28" t="s">
        <v>133</v>
      </c>
      <c r="F67" s="31" t="n">
        <f aca="false">'Master of Price'!$G$33</f>
        <v>12500000</v>
      </c>
      <c r="G67" s="29" t="s">
        <v>759</v>
      </c>
      <c r="H67" s="29" t="s">
        <v>760</v>
      </c>
      <c r="I67" s="30" t="s">
        <v>761</v>
      </c>
      <c r="J67" s="29" t="s">
        <v>762</v>
      </c>
    </row>
    <row r="68" customFormat="false" ht="51" hidden="false" customHeight="true" outlineLevel="0" collapsed="false">
      <c r="B68" s="28" t="n">
        <v>52</v>
      </c>
      <c r="C68" s="28" t="s">
        <v>144</v>
      </c>
      <c r="D68" s="29" t="s">
        <v>145</v>
      </c>
      <c r="E68" s="28" t="s">
        <v>136</v>
      </c>
      <c r="F68" s="31" t="n">
        <f aca="false">'Master of Price'!$G$34</f>
        <v>1500000</v>
      </c>
      <c r="G68" s="29" t="s">
        <v>763</v>
      </c>
      <c r="H68" s="29" t="s">
        <v>764</v>
      </c>
      <c r="I68" s="30" t="s">
        <v>585</v>
      </c>
      <c r="J68" s="29" t="s">
        <v>765</v>
      </c>
    </row>
    <row r="69" customFormat="false" ht="51" hidden="false" customHeight="true" outlineLevel="0" collapsed="false">
      <c r="B69" s="28" t="n">
        <v>53</v>
      </c>
      <c r="C69" s="28" t="s">
        <v>146</v>
      </c>
      <c r="D69" s="29" t="s">
        <v>147</v>
      </c>
      <c r="E69" s="28" t="s">
        <v>133</v>
      </c>
      <c r="F69" s="31" t="n">
        <f aca="false">'Master of Price'!$G$35</f>
        <v>5000000</v>
      </c>
      <c r="G69" s="29" t="s">
        <v>766</v>
      </c>
      <c r="H69" s="29" t="s">
        <v>767</v>
      </c>
      <c r="I69" s="30" t="s">
        <v>768</v>
      </c>
      <c r="J69" s="29" t="s">
        <v>769</v>
      </c>
    </row>
    <row r="70" customFormat="false" ht="51" hidden="false" customHeight="true" outlineLevel="0" collapsed="false">
      <c r="B70" s="28" t="n">
        <v>54</v>
      </c>
      <c r="C70" s="28" t="s">
        <v>146</v>
      </c>
      <c r="D70" s="29" t="s">
        <v>147</v>
      </c>
      <c r="E70" s="28" t="s">
        <v>133</v>
      </c>
      <c r="F70" s="31" t="n">
        <f aca="false">'Master of Price'!$G$35</f>
        <v>5000000</v>
      </c>
      <c r="G70" s="29" t="s">
        <v>770</v>
      </c>
      <c r="H70" s="29" t="s">
        <v>760</v>
      </c>
      <c r="I70" s="30" t="s">
        <v>771</v>
      </c>
      <c r="J70" s="29" t="s">
        <v>772</v>
      </c>
    </row>
    <row r="71" customFormat="false" ht="51" hidden="false" customHeight="true" outlineLevel="0" collapsed="false">
      <c r="B71" s="28" t="n">
        <v>55</v>
      </c>
      <c r="C71" s="28" t="s">
        <v>146</v>
      </c>
      <c r="D71" s="29" t="s">
        <v>147</v>
      </c>
      <c r="E71" s="28" t="s">
        <v>133</v>
      </c>
      <c r="F71" s="31" t="n">
        <f aca="false">'Master of Price'!$G$35</f>
        <v>5000000</v>
      </c>
      <c r="G71" s="29" t="s">
        <v>773</v>
      </c>
      <c r="H71" s="29" t="s">
        <v>705</v>
      </c>
      <c r="I71" s="30" t="s">
        <v>706</v>
      </c>
      <c r="J71" s="29" t="s">
        <v>774</v>
      </c>
    </row>
    <row r="72" customFormat="false" ht="51" hidden="false" customHeight="true" outlineLevel="0" collapsed="false">
      <c r="B72" s="28" t="n">
        <v>56</v>
      </c>
      <c r="C72" s="28" t="s">
        <v>148</v>
      </c>
      <c r="D72" s="29" t="s">
        <v>149</v>
      </c>
      <c r="E72" s="28" t="s">
        <v>136</v>
      </c>
      <c r="F72" s="31" t="n">
        <f aca="false">'Master of Price'!$G$36</f>
        <v>1500000</v>
      </c>
      <c r="G72" s="29" t="s">
        <v>775</v>
      </c>
      <c r="H72" s="29" t="s">
        <v>776</v>
      </c>
      <c r="I72" s="30" t="s">
        <v>777</v>
      </c>
      <c r="J72" s="29" t="s">
        <v>778</v>
      </c>
    </row>
    <row r="73" customFormat="false" ht="51" hidden="false" customHeight="true" outlineLevel="0" collapsed="false">
      <c r="B73" s="28" t="n">
        <v>57</v>
      </c>
      <c r="C73" s="28" t="s">
        <v>148</v>
      </c>
      <c r="D73" s="29" t="s">
        <v>149</v>
      </c>
      <c r="E73" s="28" t="s">
        <v>136</v>
      </c>
      <c r="F73" s="31" t="n">
        <f aca="false">'Master of Price'!$G$36</f>
        <v>1500000</v>
      </c>
      <c r="G73" s="29" t="s">
        <v>779</v>
      </c>
      <c r="H73" s="29" t="s">
        <v>780</v>
      </c>
      <c r="I73" s="30" t="s">
        <v>606</v>
      </c>
      <c r="J73" s="29" t="s">
        <v>781</v>
      </c>
    </row>
    <row r="74" customFormat="false" ht="36" hidden="false" customHeight="true" outlineLevel="0" collapsed="false">
      <c r="B74" s="28" t="n">
        <v>58</v>
      </c>
      <c r="C74" s="28" t="s">
        <v>150</v>
      </c>
      <c r="D74" s="29" t="s">
        <v>151</v>
      </c>
      <c r="E74" s="28" t="s">
        <v>136</v>
      </c>
      <c r="F74" s="31" t="n">
        <f aca="false">'Master of Price'!$G$37</f>
        <v>500000</v>
      </c>
      <c r="G74" s="29" t="s">
        <v>782</v>
      </c>
      <c r="H74" s="29" t="s">
        <v>721</v>
      </c>
      <c r="I74" s="30" t="s">
        <v>585</v>
      </c>
      <c r="J74" s="29" t="s">
        <v>783</v>
      </c>
    </row>
  </sheetData>
  <mergeCells count="12">
    <mergeCell ref="B2:J2"/>
    <mergeCell ref="C4:J4"/>
    <mergeCell ref="C5:J5"/>
    <mergeCell ref="C6:J6"/>
    <mergeCell ref="C7:J7"/>
    <mergeCell ref="C8:J8"/>
    <mergeCell ref="B10:J10"/>
    <mergeCell ref="B12:J12"/>
    <mergeCell ref="B19:J19"/>
    <mergeCell ref="B35:J35"/>
    <mergeCell ref="B50:J50"/>
    <mergeCell ref="B62:J62"/>
  </mergeCells>
  <hyperlinks>
    <hyperlink ref="I13" r:id="rId1" display="https://jdih.tebokab.go.id"/>
    <hyperlink ref="I14" r:id="rId2" display="https://peraturan.bpk.go.id"/>
    <hyperlink ref="I15" r:id="rId3" display="https://pasal.id"/>
    <hyperlink ref="I16" r:id="rId4" display="https://binakonstruksi.pu.go.id"/>
    <hyperlink ref="I17" r:id="rId5" display="https://id.scribd.com"/>
    <hyperlink ref="I18" r:id="rId6" display="https://id.scribd.com"/>
    <hyperlink ref="I20" r:id="rId7" display="https://www.lamudi.co.id"/>
    <hyperlink ref="I21" r:id="rId8" display="https://tedmondgroups.co.id"/>
    <hyperlink ref="I22" r:id="rId9" display="https://www.klopmart.com"/>
    <hyperlink ref="I23" r:id="rId10" display="https://juraganmaterial.id"/>
    <hyperlink ref="I24" r:id="rId11" display="https://www.rucika.co.id"/>
    <hyperlink ref="I25" r:id="rId12" display="https://shopee.co.id/search?keyword=pipa%20pvc%20aw%202%20inch%204%20meter"/>
    <hyperlink ref="I26" r:id="rId13" display="https://katalog.inaproc.id"/>
    <hyperlink ref="I27" r:id="rId14" display="https://www.aquatechindonesia.net/product/silika-sand-dan-silika-gravel/"/>
    <hyperlink ref="I28" r:id="rId15" display="https://shopee.co.id/Silika-Gravel-Silica-Gravel-50-kg-1-karung-1-bag-1-sak-1-zak-i.968575546.21987290207"/>
    <hyperlink ref="I29" r:id="rId16" display="https://www.detik.com/properti/berita/d-7632414/harga-semen-termurah-hingga-termahal-per-sak-2024"/>
    <hyperlink ref="I30" r:id="rId17" display="https://id.scribd.com/document/374720070/Semen-Tiga-Roda-50kg"/>
    <hyperlink ref="I31" r:id="rId18" display="https://www.lamudi.co.id"/>
    <hyperlink ref="I32" r:id="rId19" display="https://www.klopmart.com"/>
    <hyperlink ref="I33" r:id="rId20" display="https://www.detik.com"/>
    <hyperlink ref="I34" r:id="rId21" display="https://www.lamudi.co.id"/>
    <hyperlink ref="I36" r:id="rId22" display="https://www.brighton.co.id/about/articles-all/harga-borongan-cor-beton-manual-untuk-proyek-konstruksi"/>
    <hyperlink ref="I37" r:id="rId23" display="https://www.medcom.id/properti/news-properti/zNPl0RWN-kisaran-upah-jasa-cor-beton-2024"/>
    <hyperlink ref="I38" r:id="rId24" display="https://www.99.co"/>
    <hyperlink ref="I39" r:id="rId25" display="https://id.scribd.com"/>
    <hyperlink ref="I40" r:id="rId26" display="https://www.detik.com"/>
    <hyperlink ref="I41" r:id="rId27" display="https://jayawan.com"/>
    <hyperlink ref="I42" r:id="rId28" display="https://www.tokopedia.com/find/batu-kali-pondasi"/>
    <hyperlink ref="I43" r:id="rId29" display="https://www.pinhome.id"/>
    <hyperlink ref="I44" r:id="rId30" display="https://www.brighton.co.id"/>
    <hyperlink ref="I45" r:id="rId31" display="https://www.99.co/id/panduan/harga-borongan-cor-beton"/>
    <hyperlink ref="I46" r:id="rId32" display="https://readymix.co.id/produk/jasa-borong-gelar-beton"/>
    <hyperlink ref="I47" r:id="rId33" display="https://www.niagareadymix.com/2022/06/harga-borongan-cor-beton-jalan.html"/>
    <hyperlink ref="I48" r:id="rId34" display="https://www.tokopedia.com/find/hollow-galvanis"/>
    <hyperlink ref="I49" r:id="rId35" display="https://www.smsperkasa.com"/>
    <hyperlink ref="I51" r:id="rId36" display="https://shopee.co.id/search?keyword=pompa%20satelit%203%20inch%202%20hp"/>
    <hyperlink ref="I52" r:id="rId37" display="https://sentralpompa.com"/>
    <hyperlink ref="I53" r:id="rId38" display="https://www.tokopedia.com/find/inverter-solar-pump"/>
    <hyperlink ref="I54" r:id="rId39" display="https://www.tokopedia.com/find/lifepo4-24v-100ah"/>
    <hyperlink ref="I55" r:id="rId40" display="https://www.inverter.com"/>
    <hyperlink ref="I56" r:id="rId41" display="https://id.scribd.com"/>
    <hyperlink ref="I57" r:id="rId42" display="https://www.tokopedia.com/find/solar-panel-550wp"/>
    <hyperlink ref="I58" r:id="rId43" display="https://shopee.co.id/Solar-Panel-Surya-PV-550WP-Mono-Ber-SNI-550wp-Monocrystalline-SNI-i.378242829.22052287764"/>
    <hyperlink ref="I59" r:id="rId44" display="https://padiumkm.id/product/ae-solar-cell-panel-surya-550wp-sni-mono-type-md-144/6749c8c1a1ee7efbffa3db0b"/>
    <hyperlink ref="I60" r:id="rId45" display="https://solarsuryaindotama.co.id/katalog-produk/module-solar-panel/solar-pv-lesso-hpm-series-550wp-monocystalline"/>
    <hyperlink ref="I61" r:id="rId46" display="https://binakonstruksi.pu.go.id"/>
    <hyperlink ref="I63" r:id="rId47" display="https://www.lazada.co.id/tag/mesin-diesel-jd-330"/>
    <hyperlink ref="I64" r:id="rId48" display="https://shopee.co.id/MESIN-DIESEL-JD330-35HP-JIANGDONG-i.123248750.4255848393"/>
    <hyperlink ref="I65" r:id="rId49" display="https://distributordiesel.com/product/mesin-diesel-35-hp-jiangdong-jd-330-d"/>
    <hyperlink ref="I66" r:id="rId50" display="https://www.tokopedia.com/cetamin/mesin-diesel-jd330-jd-330-35pk-35hp-jiangdong-tanpa-tanki"/>
    <hyperlink ref="I67" r:id="rId51" display="https://www.blibli.com/p/mesin-penggerak-jd-330-d-jiangdong-35-hp-diesel-hopper-starter-35-pk/ps--SUG-70033-00409"/>
    <hyperlink ref="I68" r:id="rId52" display="https://id.scribd.com"/>
    <hyperlink ref="I69" r:id="rId53" display="https://www.tokopedia.com/find/pompa-submersible-4-inch-5-5hp"/>
    <hyperlink ref="I70" r:id="rId54" display="https://www.blibli.com"/>
    <hyperlink ref="I71" r:id="rId55" display="https://sentralpompa.com"/>
    <hyperlink ref="I72" r:id="rId56" display="https://www.lazada.co.id/catalog/?q=kabel%20nym%202x4%20meteran"/>
    <hyperlink ref="I73" r:id="rId57" display="https://juraganmaterial.id"/>
    <hyperlink ref="I74" r:id="rId58" display="https://id.scribd.co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9.7" hidden="false" customHeight="false" outlineLevel="0" collapsed="false">
      <c r="A2" s="2"/>
      <c r="B2" s="3" t="s">
        <v>784</v>
      </c>
      <c r="C2" s="3"/>
      <c r="D2" s="3"/>
      <c r="E2" s="3"/>
      <c r="F2" s="3"/>
      <c r="G2" s="3"/>
      <c r="H2" s="3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2"/>
      <c r="B4" s="4" t="s">
        <v>785</v>
      </c>
      <c r="C4" s="14" t="s">
        <v>786</v>
      </c>
      <c r="D4" s="14"/>
      <c r="E4" s="14"/>
      <c r="F4" s="14"/>
      <c r="G4" s="14"/>
      <c r="H4" s="14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15" hidden="false" customHeight="false" outlineLevel="0" collapsed="false">
      <c r="A5" s="2"/>
      <c r="B5" s="4" t="s">
        <v>787</v>
      </c>
      <c r="C5" s="14" t="s">
        <v>788</v>
      </c>
      <c r="D5" s="14"/>
      <c r="E5" s="14"/>
      <c r="F5" s="14"/>
      <c r="G5" s="14"/>
      <c r="H5" s="14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15" hidden="false" customHeight="false" outlineLevel="0" collapsed="false">
      <c r="A6" s="2"/>
      <c r="B6" s="4" t="s">
        <v>18</v>
      </c>
      <c r="C6" s="14" t="s">
        <v>789</v>
      </c>
      <c r="D6" s="14"/>
      <c r="E6" s="14"/>
      <c r="F6" s="14"/>
      <c r="G6" s="14"/>
      <c r="H6" s="14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15" hidden="false" customHeight="false" outlineLevel="0" collapsed="false">
      <c r="A7" s="2"/>
      <c r="B7" s="4" t="s">
        <v>790</v>
      </c>
      <c r="C7" s="14" t="s">
        <v>791</v>
      </c>
      <c r="D7" s="14"/>
      <c r="E7" s="14"/>
      <c r="F7" s="14"/>
      <c r="G7" s="14"/>
      <c r="H7" s="14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15" hidden="false" customHeight="false" outlineLevel="0" collapsed="false">
      <c r="A8" s="2"/>
      <c r="B8" s="4" t="s">
        <v>792</v>
      </c>
      <c r="C8" s="32" t="n">
        <f aca="false">RINGKASAN!$K$15</f>
        <v>41025000</v>
      </c>
      <c r="D8" s="32"/>
      <c r="E8" s="32"/>
      <c r="F8" s="32"/>
      <c r="G8" s="32"/>
      <c r="H8" s="3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15" hidden="false" customHeight="false" outlineLevel="0" collapsed="false">
      <c r="A9" s="2"/>
      <c r="B9" s="4" t="s">
        <v>81</v>
      </c>
      <c r="C9" s="14" t="s">
        <v>793</v>
      </c>
      <c r="D9" s="14"/>
      <c r="E9" s="14"/>
      <c r="F9" s="14"/>
      <c r="G9" s="14"/>
      <c r="H9" s="14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15" hidden="false" customHeight="false" outlineLevel="0" collapsed="false">
      <c r="A10" s="2"/>
      <c r="B10" s="4" t="s">
        <v>9</v>
      </c>
      <c r="C10" s="14" t="s">
        <v>10</v>
      </c>
      <c r="D10" s="14"/>
      <c r="E10" s="14"/>
      <c r="F10" s="14"/>
      <c r="G10" s="14"/>
      <c r="H10" s="14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21.75" hidden="false" customHeight="true" outlineLevel="0" collapsed="false">
      <c r="A12" s="2"/>
      <c r="B12" s="15" t="s">
        <v>794</v>
      </c>
      <c r="C12" s="15"/>
      <c r="D12" s="15"/>
      <c r="E12" s="15"/>
      <c r="F12" s="15"/>
      <c r="G12" s="15"/>
      <c r="H12" s="15"/>
    </row>
    <row r="13" customFormat="false" ht="27.75" hidden="false" customHeight="true" outlineLevel="0" collapsed="false">
      <c r="A13" s="2"/>
      <c r="B13" s="7" t="s">
        <v>16</v>
      </c>
      <c r="C13" s="7" t="s">
        <v>795</v>
      </c>
      <c r="D13" s="7" t="s">
        <v>796</v>
      </c>
      <c r="E13" s="7" t="s">
        <v>797</v>
      </c>
      <c r="F13" s="7" t="s">
        <v>89</v>
      </c>
      <c r="G13" s="7" t="s">
        <v>90</v>
      </c>
      <c r="H13" s="7" t="s">
        <v>798</v>
      </c>
    </row>
    <row r="14" customFormat="false" ht="21.75" hidden="false" customHeight="true" outlineLevel="0" collapsed="false">
      <c r="A14" s="2"/>
      <c r="B14" s="33" t="s">
        <v>799</v>
      </c>
      <c r="C14" s="34" t="s">
        <v>800</v>
      </c>
      <c r="D14" s="35"/>
      <c r="E14" s="35"/>
      <c r="F14" s="35"/>
      <c r="G14" s="35"/>
      <c r="H14" s="35"/>
    </row>
    <row r="15" customFormat="false" ht="36" hidden="false" customHeight="true" outlineLevel="0" collapsed="false">
      <c r="A15" s="2"/>
      <c r="B15" s="9" t="s">
        <v>801</v>
      </c>
      <c r="C15" s="17" t="s">
        <v>93</v>
      </c>
      <c r="D15" s="36" t="n">
        <v>40</v>
      </c>
      <c r="E15" s="36" t="n">
        <v>40</v>
      </c>
      <c r="F15" s="18" t="s">
        <v>94</v>
      </c>
      <c r="G15" s="8" t="n">
        <f aca="false">'Master of Price'!$G$12</f>
        <v>352000</v>
      </c>
      <c r="H15" s="8" t="n">
        <f aca="false">E15*G15</f>
        <v>14080000</v>
      </c>
    </row>
    <row r="16" customFormat="false" ht="27.75" hidden="false" customHeight="true" outlineLevel="0" collapsed="false">
      <c r="A16" s="2"/>
      <c r="B16" s="9" t="s">
        <v>802</v>
      </c>
      <c r="C16" s="17" t="s">
        <v>96</v>
      </c>
      <c r="D16" s="36" t="n">
        <v>40</v>
      </c>
      <c r="E16" s="36" t="n">
        <v>40</v>
      </c>
      <c r="F16" s="18" t="s">
        <v>94</v>
      </c>
      <c r="G16" s="8" t="n">
        <f aca="false">'Master of Price'!$G$13</f>
        <v>100000</v>
      </c>
      <c r="H16" s="8" t="n">
        <f aca="false">E16*G16</f>
        <v>4000000</v>
      </c>
    </row>
    <row r="17" customFormat="false" ht="27.75" hidden="false" customHeight="true" outlineLevel="0" collapsed="false">
      <c r="A17" s="2"/>
      <c r="B17" s="9" t="s">
        <v>803</v>
      </c>
      <c r="C17" s="17" t="s">
        <v>98</v>
      </c>
      <c r="D17" s="36" t="n">
        <v>40</v>
      </c>
      <c r="E17" s="36" t="n">
        <v>40</v>
      </c>
      <c r="F17" s="18" t="s">
        <v>94</v>
      </c>
      <c r="G17" s="8" t="n">
        <f aca="false">'Master of Price'!$G$14</f>
        <v>28000</v>
      </c>
      <c r="H17" s="8" t="n">
        <f aca="false">E17*G17</f>
        <v>1120000</v>
      </c>
    </row>
    <row r="18" customFormat="false" ht="27.75" hidden="false" customHeight="true" outlineLevel="0" collapsed="false">
      <c r="A18" s="2"/>
      <c r="B18" s="9" t="s">
        <v>804</v>
      </c>
      <c r="C18" s="17" t="s">
        <v>100</v>
      </c>
      <c r="D18" s="36" t="n">
        <v>40</v>
      </c>
      <c r="E18" s="36" t="n">
        <v>40</v>
      </c>
      <c r="F18" s="18" t="s">
        <v>94</v>
      </c>
      <c r="G18" s="8" t="n">
        <f aca="false">'Master of Price'!$G$15</f>
        <v>45000</v>
      </c>
      <c r="H18" s="8" t="n">
        <f aca="false">E18*G18</f>
        <v>1800000</v>
      </c>
    </row>
    <row r="19" customFormat="false" ht="27.75" hidden="false" customHeight="true" outlineLevel="0" collapsed="false">
      <c r="A19" s="2"/>
      <c r="B19" s="9" t="s">
        <v>805</v>
      </c>
      <c r="C19" s="17" t="s">
        <v>102</v>
      </c>
      <c r="D19" s="36" t="n">
        <v>40</v>
      </c>
      <c r="E19" s="36" t="n">
        <v>40</v>
      </c>
      <c r="F19" s="18" t="s">
        <v>94</v>
      </c>
      <c r="G19" s="8" t="n">
        <f aca="false">'Master of Price'!$G$16</f>
        <v>75000</v>
      </c>
      <c r="H19" s="8" t="n">
        <f aca="false">E19*G19</f>
        <v>3000000</v>
      </c>
    </row>
    <row r="20" customFormat="false" ht="25.5" hidden="false" customHeight="true" outlineLevel="0" collapsed="false">
      <c r="A20" s="2"/>
      <c r="B20" s="23" t="s">
        <v>806</v>
      </c>
      <c r="C20" s="23"/>
      <c r="D20" s="23"/>
      <c r="E20" s="23"/>
      <c r="F20" s="23"/>
      <c r="G20" s="23"/>
      <c r="H20" s="11" t="n">
        <f aca="false">SUM(H15:H19)</f>
        <v>24000000</v>
      </c>
    </row>
    <row r="21" customFormat="false" ht="21.75" hidden="false" customHeight="true" outlineLevel="0" collapsed="false">
      <c r="A21" s="2"/>
      <c r="B21" s="15" t="s">
        <v>807</v>
      </c>
      <c r="C21" s="15"/>
      <c r="D21" s="15"/>
      <c r="E21" s="15"/>
      <c r="F21" s="15"/>
      <c r="G21" s="15"/>
      <c r="H21" s="15"/>
    </row>
    <row r="22" customFormat="false" ht="27.75" hidden="false" customHeight="true" outlineLevel="0" collapsed="false">
      <c r="A22" s="2"/>
      <c r="B22" s="7" t="s">
        <v>16</v>
      </c>
      <c r="C22" s="7" t="s">
        <v>795</v>
      </c>
      <c r="D22" s="7" t="s">
        <v>796</v>
      </c>
      <c r="E22" s="7" t="s">
        <v>797</v>
      </c>
      <c r="F22" s="7" t="s">
        <v>89</v>
      </c>
      <c r="G22" s="7" t="s">
        <v>90</v>
      </c>
      <c r="H22" s="7" t="s">
        <v>798</v>
      </c>
    </row>
    <row r="23" customFormat="false" ht="21.75" hidden="false" customHeight="true" outlineLevel="0" collapsed="false">
      <c r="A23" s="2"/>
      <c r="B23" s="33" t="s">
        <v>808</v>
      </c>
      <c r="C23" s="34" t="s">
        <v>809</v>
      </c>
      <c r="D23" s="35"/>
      <c r="E23" s="35"/>
      <c r="F23" s="35"/>
      <c r="G23" s="35"/>
      <c r="H23" s="35"/>
    </row>
    <row r="24" customFormat="false" ht="36" hidden="false" customHeight="true" outlineLevel="0" collapsed="false">
      <c r="A24" s="2"/>
      <c r="B24" s="9" t="s">
        <v>810</v>
      </c>
      <c r="C24" s="17" t="s">
        <v>113</v>
      </c>
      <c r="D24" s="36" t="n">
        <v>0.1</v>
      </c>
      <c r="E24" s="36" t="n">
        <v>0.1</v>
      </c>
      <c r="F24" s="18" t="s">
        <v>114</v>
      </c>
      <c r="G24" s="8" t="n">
        <f aca="false">'Master of Price'!$G$21</f>
        <v>1000000</v>
      </c>
      <c r="H24" s="8" t="n">
        <f aca="false">E24*G24</f>
        <v>100000</v>
      </c>
    </row>
    <row r="25" customFormat="false" ht="25.5" hidden="false" customHeight="true" outlineLevel="0" collapsed="false">
      <c r="A25" s="2"/>
      <c r="B25" s="23" t="s">
        <v>811</v>
      </c>
      <c r="C25" s="23"/>
      <c r="D25" s="23"/>
      <c r="E25" s="23"/>
      <c r="F25" s="23"/>
      <c r="G25" s="23"/>
      <c r="H25" s="11" t="n">
        <f aca="false">SUM(H24)</f>
        <v>100000</v>
      </c>
    </row>
    <row r="26" customFormat="false" ht="21.75" hidden="false" customHeight="true" outlineLevel="0" collapsed="false">
      <c r="A26" s="2"/>
      <c r="B26" s="15" t="s">
        <v>812</v>
      </c>
      <c r="C26" s="15"/>
      <c r="D26" s="15"/>
      <c r="E26" s="15"/>
      <c r="F26" s="15"/>
      <c r="G26" s="15"/>
      <c r="H26" s="15"/>
    </row>
    <row r="27" customFormat="false" ht="27.75" hidden="false" customHeight="true" outlineLevel="0" collapsed="false">
      <c r="A27" s="2"/>
      <c r="B27" s="7" t="s">
        <v>16</v>
      </c>
      <c r="C27" s="7" t="s">
        <v>795</v>
      </c>
      <c r="D27" s="7" t="s">
        <v>796</v>
      </c>
      <c r="E27" s="7" t="s">
        <v>797</v>
      </c>
      <c r="F27" s="7" t="s">
        <v>89</v>
      </c>
      <c r="G27" s="7" t="s">
        <v>90</v>
      </c>
      <c r="H27" s="7" t="s">
        <v>798</v>
      </c>
    </row>
    <row r="28" customFormat="false" ht="21.75" hidden="false" customHeight="true" outlineLevel="0" collapsed="false">
      <c r="A28" s="2"/>
      <c r="B28" s="33" t="s">
        <v>813</v>
      </c>
      <c r="C28" s="34" t="s">
        <v>814</v>
      </c>
      <c r="D28" s="35"/>
      <c r="E28" s="35"/>
      <c r="F28" s="35"/>
      <c r="G28" s="35"/>
      <c r="H28" s="35"/>
    </row>
    <row r="29" customFormat="false" ht="36" hidden="false" customHeight="true" outlineLevel="0" collapsed="false">
      <c r="A29" s="2"/>
      <c r="B29" s="9" t="s">
        <v>815</v>
      </c>
      <c r="C29" s="17" t="s">
        <v>143</v>
      </c>
      <c r="D29" s="36" t="n">
        <v>1</v>
      </c>
      <c r="E29" s="36" t="n">
        <v>1</v>
      </c>
      <c r="F29" s="18" t="s">
        <v>133</v>
      </c>
      <c r="G29" s="8" t="n">
        <f aca="false">'Master of Price'!$G$33</f>
        <v>12500000</v>
      </c>
      <c r="H29" s="8" t="n">
        <f aca="false">E29*G29</f>
        <v>12500000</v>
      </c>
    </row>
    <row r="30" customFormat="false" ht="36" hidden="false" customHeight="true" outlineLevel="0" collapsed="false">
      <c r="A30" s="2"/>
      <c r="B30" s="9" t="s">
        <v>816</v>
      </c>
      <c r="C30" s="17" t="s">
        <v>145</v>
      </c>
      <c r="D30" s="36" t="n">
        <v>1</v>
      </c>
      <c r="E30" s="36" t="n">
        <v>1</v>
      </c>
      <c r="F30" s="18" t="s">
        <v>136</v>
      </c>
      <c r="G30" s="8" t="n">
        <f aca="false">'Master of Price'!$G$34</f>
        <v>1500000</v>
      </c>
      <c r="H30" s="8" t="n">
        <f aca="false">E30*G30</f>
        <v>1500000</v>
      </c>
    </row>
    <row r="31" customFormat="false" ht="25.5" hidden="false" customHeight="true" outlineLevel="0" collapsed="false">
      <c r="A31" s="2"/>
      <c r="B31" s="23" t="s">
        <v>817</v>
      </c>
      <c r="C31" s="23"/>
      <c r="D31" s="23"/>
      <c r="E31" s="23"/>
      <c r="F31" s="23"/>
      <c r="G31" s="23"/>
      <c r="H31" s="11" t="n">
        <f aca="false">SUM(H29:H30)</f>
        <v>14000000</v>
      </c>
    </row>
    <row r="32" customFormat="false" ht="21.75" hidden="false" customHeight="true" outlineLevel="0" collapsed="false">
      <c r="A32" s="2"/>
      <c r="B32" s="37" t="s">
        <v>818</v>
      </c>
      <c r="C32" s="37"/>
      <c r="D32" s="37"/>
      <c r="E32" s="37"/>
      <c r="F32" s="37"/>
      <c r="G32" s="37"/>
      <c r="H32" s="38" t="n">
        <f aca="false">H35-(H20+H25+H31)</f>
        <v>2925000</v>
      </c>
    </row>
    <row r="33" customFormat="false" ht="27.75" hidden="false" customHeight="true" outlineLevel="0" collapsed="false">
      <c r="A33" s="2"/>
      <c r="B33" s="10" t="s">
        <v>819</v>
      </c>
      <c r="C33" s="10"/>
      <c r="D33" s="10"/>
      <c r="E33" s="10"/>
      <c r="F33" s="10"/>
      <c r="G33" s="10"/>
      <c r="H33" s="39" t="n">
        <f aca="false">H20+H25+H31+H32</f>
        <v>41025000</v>
      </c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</row>
    <row r="35" customFormat="false" ht="21.75" hidden="false" customHeight="true" outlineLevel="0" collapsed="false">
      <c r="A35" s="2"/>
      <c r="B35" s="21" t="s">
        <v>820</v>
      </c>
      <c r="C35" s="21"/>
      <c r="D35" s="21"/>
      <c r="E35" s="21"/>
      <c r="F35" s="21"/>
      <c r="G35" s="21"/>
      <c r="H35" s="40" t="n">
        <f aca="false">RINGKASAN!$K$15</f>
        <v>41025000</v>
      </c>
    </row>
    <row r="36" customFormat="false" ht="21.75" hidden="false" customHeight="true" outlineLevel="0" collapsed="false">
      <c r="A36" s="2"/>
      <c r="B36" s="41" t="s">
        <v>821</v>
      </c>
      <c r="C36" s="41"/>
      <c r="D36" s="41"/>
      <c r="E36" s="41"/>
      <c r="F36" s="41"/>
      <c r="G36" s="41"/>
      <c r="H36" s="8" t="n">
        <f aca="false">H33-H35</f>
        <v>0</v>
      </c>
    </row>
    <row r="37" customFormat="false" ht="21.75" hidden="false" customHeight="true" outlineLevel="0" collapsed="false">
      <c r="A37" s="2"/>
      <c r="B37" s="42" t="s">
        <v>822</v>
      </c>
      <c r="C37" s="42"/>
      <c r="D37" s="42"/>
      <c r="E37" s="42"/>
      <c r="F37" s="42"/>
      <c r="G37" s="42"/>
      <c r="H37" s="37" t="str">
        <f aca="false">IF(H32&lt;0,"OVER BUDGET","OK")</f>
        <v>OK</v>
      </c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</row>
    <row r="61" customFormat="false" ht="15" hidden="false" customHeight="false" outlineLevel="0" collapsed="false">
      <c r="A61" s="2"/>
      <c r="B61" s="2"/>
      <c r="C61" s="2"/>
      <c r="D61" s="2"/>
      <c r="E61" s="2"/>
      <c r="F61" s="2"/>
      <c r="G61" s="2"/>
      <c r="H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  <c r="G62" s="2"/>
      <c r="H62" s="2"/>
    </row>
    <row r="63" customFormat="false" ht="15" hidden="false" customHeight="false" outlineLevel="0" collapsed="false">
      <c r="A63" s="2"/>
      <c r="B63" s="2"/>
      <c r="C63" s="2"/>
      <c r="D63" s="2"/>
      <c r="E63" s="2"/>
      <c r="F63" s="2"/>
      <c r="G63" s="2"/>
      <c r="H63" s="2"/>
    </row>
    <row r="64" customFormat="false" ht="15" hidden="false" customHeight="false" outlineLevel="0" collapsed="false">
      <c r="A64" s="2"/>
      <c r="B64" s="2"/>
      <c r="C64" s="2"/>
      <c r="D64" s="2"/>
      <c r="E64" s="2"/>
      <c r="F64" s="2"/>
      <c r="G64" s="2"/>
      <c r="H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</row>
    <row r="66" customFormat="false" ht="15" hidden="false" customHeight="false" outlineLevel="0" collapsed="false">
      <c r="A66" s="2"/>
      <c r="B66" s="2"/>
      <c r="C66" s="2"/>
      <c r="D66" s="2"/>
      <c r="E66" s="2"/>
      <c r="F66" s="2"/>
      <c r="G66" s="2"/>
      <c r="H66" s="2"/>
    </row>
    <row r="67" customFormat="false" ht="15" hidden="false" customHeight="false" outlineLevel="0" collapsed="false">
      <c r="A67" s="2"/>
      <c r="B67" s="2"/>
      <c r="C67" s="2"/>
      <c r="D67" s="2"/>
      <c r="E67" s="2"/>
      <c r="F67" s="2"/>
      <c r="G67" s="2"/>
      <c r="H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"/>
      <c r="H70" s="2"/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</row>
    <row r="250" customFormat="false" ht="15.7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</row>
    <row r="251" customFormat="false" ht="15.7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</row>
    <row r="252" customFormat="false" ht="15.7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</row>
    <row r="253" customFormat="false" ht="15.7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</row>
    <row r="254" customFormat="false" ht="15.7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</row>
    <row r="255" customFormat="false" ht="15.7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</row>
    <row r="256" customFormat="false" ht="15.7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</row>
    <row r="257" customFormat="false" ht="15.7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</row>
    <row r="258" customFormat="false" ht="15.7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</row>
    <row r="259" customFormat="false" ht="15.7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</row>
    <row r="260" customFormat="false" ht="15.7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</row>
    <row r="261" customFormat="false" ht="15.7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</row>
    <row r="262" customFormat="false" ht="15.7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</row>
    <row r="263" customFormat="false" ht="15.7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</row>
    <row r="264" customFormat="false" ht="15.7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</row>
    <row r="265" customFormat="false" ht="15.7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</row>
    <row r="266" customFormat="false" ht="15.7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</row>
    <row r="267" customFormat="false" ht="15.7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</row>
    <row r="268" customFormat="false" ht="15.7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</row>
    <row r="269" customFormat="false" ht="15.7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</row>
    <row r="270" customFormat="false" ht="15.7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</row>
    <row r="271" customFormat="false" ht="15.7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</row>
    <row r="272" customFormat="false" ht="15.7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</row>
    <row r="273" customFormat="false" ht="15.7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</row>
    <row r="274" customFormat="false" ht="15.7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</row>
    <row r="275" customFormat="false" ht="15.7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</row>
    <row r="276" customFormat="false" ht="15.7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</row>
    <row r="277" customFormat="false" ht="15.7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</row>
    <row r="278" customFormat="false" ht="15.7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</row>
    <row r="279" customFormat="false" ht="15.7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</row>
    <row r="280" customFormat="false" ht="15.7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</row>
    <row r="281" customFormat="false" ht="15.7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</row>
    <row r="282" customFormat="false" ht="15.7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</row>
    <row r="283" customFormat="false" ht="15.7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</row>
    <row r="284" customFormat="false" ht="15.7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</row>
    <row r="285" customFormat="false" ht="15.7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</row>
    <row r="286" customFormat="false" ht="15.7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</row>
    <row r="287" customFormat="false" ht="15.7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</row>
    <row r="288" customFormat="false" ht="15.7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</row>
    <row r="289" customFormat="false" ht="15.7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</row>
    <row r="290" customFormat="false" ht="15.7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</row>
    <row r="291" customFormat="false" ht="15.7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</row>
    <row r="292" customFormat="false" ht="15.7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</row>
    <row r="293" customFormat="false" ht="15.7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</row>
    <row r="294" customFormat="false" ht="15.7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</row>
    <row r="295" customFormat="false" ht="15.7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</row>
    <row r="296" customFormat="false" ht="15.7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</row>
    <row r="297" customFormat="false" ht="15.7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</row>
    <row r="298" customFormat="false" ht="15.7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</row>
    <row r="299" customFormat="false" ht="15.7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</row>
    <row r="300" customFormat="false" ht="15.7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</row>
    <row r="301" customFormat="false" ht="15.7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</row>
    <row r="302" customFormat="false" ht="15.7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</row>
    <row r="303" customFormat="false" ht="15.7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</row>
    <row r="304" customFormat="false" ht="15.7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</row>
    <row r="305" customFormat="false" ht="15.7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</row>
    <row r="306" customFormat="false" ht="15.7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</row>
    <row r="307" customFormat="false" ht="15.7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</row>
    <row r="308" customFormat="false" ht="15.7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</row>
    <row r="309" customFormat="false" ht="15.7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</row>
    <row r="310" customFormat="false" ht="15.7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</row>
    <row r="311" customFormat="false" ht="15.7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</row>
    <row r="312" customFormat="false" ht="15.7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</row>
    <row r="313" customFormat="false" ht="15.7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</row>
    <row r="314" customFormat="false" ht="15.7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</row>
    <row r="315" customFormat="false" ht="15.7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</row>
    <row r="316" customFormat="false" ht="15.7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</row>
    <row r="317" customFormat="false" ht="15.7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</row>
    <row r="318" customFormat="false" ht="15.7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</row>
    <row r="319" customFormat="false" ht="15.7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</row>
    <row r="320" customFormat="false" ht="15.7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</row>
    <row r="321" customFormat="false" ht="15.7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</row>
    <row r="322" customFormat="false" ht="15.7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</row>
    <row r="323" customFormat="false" ht="15.7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</row>
    <row r="324" customFormat="false" ht="15.7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</row>
    <row r="325" customFormat="false" ht="15.7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</row>
    <row r="326" customFormat="false" ht="15.7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</row>
    <row r="327" customFormat="false" ht="15.7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</row>
    <row r="328" customFormat="false" ht="15.7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</row>
    <row r="329" customFormat="false" ht="15.7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</row>
    <row r="330" customFormat="false" ht="15.7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</row>
    <row r="331" customFormat="false" ht="15.7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</row>
    <row r="332" customFormat="false" ht="15.7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</row>
    <row r="333" customFormat="false" ht="15.7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</row>
    <row r="334" customFormat="false" ht="15.7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</row>
    <row r="335" customFormat="false" ht="15.7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</row>
    <row r="336" customFormat="false" ht="15.7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</row>
    <row r="337" customFormat="false" ht="15.7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</row>
    <row r="338" customFormat="false" ht="15.7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</row>
    <row r="339" customFormat="false" ht="15.7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</row>
    <row r="340" customFormat="false" ht="15.7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</row>
    <row r="341" customFormat="false" ht="15.7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</row>
    <row r="342" customFormat="false" ht="15.7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</row>
    <row r="343" customFormat="false" ht="15.7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</row>
    <row r="344" customFormat="false" ht="15.7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</row>
    <row r="345" customFormat="false" ht="15.7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</row>
    <row r="346" customFormat="false" ht="15.7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</row>
    <row r="347" customFormat="false" ht="15.7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</row>
    <row r="348" customFormat="false" ht="15.7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</row>
    <row r="349" customFormat="false" ht="15.7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</row>
    <row r="350" customFormat="false" ht="15.7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</row>
    <row r="351" customFormat="false" ht="15.7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</row>
    <row r="352" customFormat="false" ht="15.7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</row>
    <row r="353" customFormat="false" ht="15.7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</row>
    <row r="354" customFormat="false" ht="15.7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</row>
    <row r="355" customFormat="false" ht="15.7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</row>
    <row r="356" customFormat="false" ht="15.7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</row>
    <row r="357" customFormat="false" ht="15.7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</row>
    <row r="358" customFormat="false" ht="15.7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</row>
    <row r="359" customFormat="false" ht="15.7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</row>
    <row r="360" customFormat="false" ht="15.7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</row>
    <row r="361" customFormat="false" ht="15.7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</row>
    <row r="362" customFormat="false" ht="15.7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</row>
    <row r="363" customFormat="false" ht="15.7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</row>
    <row r="364" customFormat="false" ht="15.7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</row>
    <row r="365" customFormat="false" ht="15.7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</row>
    <row r="366" customFormat="false" ht="15.7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</row>
    <row r="367" customFormat="false" ht="15.7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</row>
    <row r="368" customFormat="false" ht="15.7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</row>
    <row r="369" customFormat="false" ht="15.7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</row>
    <row r="370" customFormat="false" ht="15.7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</row>
    <row r="371" customFormat="false" ht="15.7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</row>
    <row r="372" customFormat="false" ht="15.7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</row>
    <row r="373" customFormat="false" ht="15.7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</row>
    <row r="374" customFormat="false" ht="15.7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</row>
    <row r="375" customFormat="false" ht="15.7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</row>
    <row r="376" customFormat="false" ht="15.7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</row>
    <row r="377" customFormat="false" ht="15.7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</row>
    <row r="378" customFormat="false" ht="15.7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</row>
    <row r="379" customFormat="false" ht="15.7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</row>
    <row r="380" customFormat="false" ht="15.7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</row>
    <row r="381" customFormat="false" ht="15.7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</row>
    <row r="382" customFormat="false" ht="15.7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</row>
    <row r="383" customFormat="false" ht="15.7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</row>
    <row r="384" customFormat="false" ht="15.7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</row>
    <row r="385" customFormat="false" ht="15.7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</row>
    <row r="386" customFormat="false" ht="15.7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</row>
    <row r="387" customFormat="false" ht="15.7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</row>
    <row r="388" customFormat="false" ht="15.7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</row>
    <row r="389" customFormat="false" ht="15.7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</row>
    <row r="390" customFormat="false" ht="15.7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</row>
    <row r="391" customFormat="false" ht="15.7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</row>
    <row r="392" customFormat="false" ht="15.7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</row>
    <row r="393" customFormat="false" ht="15.7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</row>
    <row r="394" customFormat="false" ht="15.7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</row>
    <row r="395" customFormat="false" ht="15.7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</row>
    <row r="396" customFormat="false" ht="15.7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</row>
    <row r="397" customFormat="false" ht="15.7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</row>
    <row r="398" customFormat="false" ht="15.7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</row>
    <row r="399" customFormat="false" ht="15.7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</row>
    <row r="400" customFormat="false" ht="15.7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</row>
    <row r="401" customFormat="false" ht="15.7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</row>
    <row r="402" customFormat="false" ht="15.7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</row>
    <row r="403" customFormat="false" ht="15.7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</row>
    <row r="404" customFormat="false" ht="15.7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</row>
    <row r="405" customFormat="false" ht="15.7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</row>
    <row r="406" customFormat="false" ht="15.7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</row>
    <row r="407" customFormat="false" ht="15.7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</row>
    <row r="408" customFormat="false" ht="15.7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</row>
    <row r="409" customFormat="false" ht="15.7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</row>
    <row r="410" customFormat="false" ht="15.7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</row>
    <row r="411" customFormat="false" ht="15.7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</row>
    <row r="412" customFormat="false" ht="15.7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</row>
    <row r="413" customFormat="false" ht="15.7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</row>
    <row r="414" customFormat="false" ht="15.7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</row>
    <row r="415" customFormat="false" ht="15.7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</row>
    <row r="416" customFormat="false" ht="15.7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</row>
    <row r="417" customFormat="false" ht="15.7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</row>
    <row r="418" customFormat="false" ht="15.7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</row>
    <row r="419" customFormat="false" ht="15.7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</row>
    <row r="420" customFormat="false" ht="15.7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</row>
    <row r="421" customFormat="false" ht="15.7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</row>
    <row r="422" customFormat="false" ht="15.7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</row>
    <row r="423" customFormat="false" ht="15.7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</row>
    <row r="424" customFormat="false" ht="15.7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</row>
    <row r="425" customFormat="false" ht="15.7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</row>
    <row r="426" customFormat="false" ht="15.7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</row>
    <row r="427" customFormat="false" ht="15.7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</row>
    <row r="428" customFormat="false" ht="15.7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</row>
    <row r="429" customFormat="false" ht="15.7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</row>
    <row r="430" customFormat="false" ht="15.7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</row>
    <row r="431" customFormat="false" ht="15.7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</row>
    <row r="432" customFormat="false" ht="15.7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</row>
    <row r="433" customFormat="false" ht="15.7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</row>
    <row r="434" customFormat="false" ht="15.7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</row>
    <row r="435" customFormat="false" ht="15.7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</row>
    <row r="436" customFormat="false" ht="15.7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</row>
    <row r="437" customFormat="false" ht="15.7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</row>
    <row r="438" customFormat="false" ht="15.7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</row>
    <row r="439" customFormat="false" ht="15.7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</row>
    <row r="440" customFormat="false" ht="15.7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</row>
    <row r="441" customFormat="false" ht="15.7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</row>
    <row r="442" customFormat="false" ht="15.7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</row>
    <row r="443" customFormat="false" ht="15.7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</row>
    <row r="444" customFormat="false" ht="15.7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</row>
    <row r="445" customFormat="false" ht="15.7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</row>
    <row r="446" customFormat="false" ht="15.7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</row>
    <row r="447" customFormat="false" ht="15.7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</row>
    <row r="448" customFormat="false" ht="15.7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</row>
    <row r="449" customFormat="false" ht="15.7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</row>
    <row r="450" customFormat="false" ht="15.7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</row>
    <row r="451" customFormat="false" ht="15.7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</row>
    <row r="452" customFormat="false" ht="15.7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</row>
    <row r="453" customFormat="false" ht="15.7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</row>
    <row r="454" customFormat="false" ht="15.7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</row>
    <row r="455" customFormat="false" ht="15.7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</row>
    <row r="456" customFormat="false" ht="15.7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</row>
    <row r="457" customFormat="false" ht="15.7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</row>
    <row r="458" customFormat="false" ht="15.7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</row>
    <row r="459" customFormat="false" ht="15.7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</row>
    <row r="460" customFormat="false" ht="15.7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</row>
    <row r="461" customFormat="false" ht="15.7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</row>
    <row r="462" customFormat="false" ht="15.7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</row>
    <row r="463" customFormat="false" ht="15.7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</row>
    <row r="464" customFormat="false" ht="15.7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</row>
    <row r="465" customFormat="false" ht="15.7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</row>
    <row r="466" customFormat="false" ht="15.7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</row>
    <row r="467" customFormat="false" ht="15.7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</row>
    <row r="468" customFormat="false" ht="15.7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</row>
    <row r="469" customFormat="false" ht="15.7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</row>
    <row r="470" customFormat="false" ht="15.7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</row>
    <row r="471" customFormat="false" ht="15.7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</row>
    <row r="472" customFormat="false" ht="15.7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</row>
    <row r="473" customFormat="false" ht="15.7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</row>
    <row r="474" customFormat="false" ht="15.7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</row>
    <row r="475" customFormat="false" ht="15.7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</row>
    <row r="476" customFormat="false" ht="15.7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</row>
    <row r="477" customFormat="false" ht="15.7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</row>
    <row r="478" customFormat="false" ht="15.7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</row>
    <row r="479" customFormat="false" ht="15.7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</row>
    <row r="480" customFormat="false" ht="15.7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</row>
    <row r="481" customFormat="false" ht="15.7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</row>
    <row r="482" customFormat="false" ht="15.7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</row>
    <row r="483" customFormat="false" ht="15.7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</row>
    <row r="484" customFormat="false" ht="15.7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</row>
    <row r="485" customFormat="false" ht="15.7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</row>
    <row r="486" customFormat="false" ht="15.7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</row>
    <row r="487" customFormat="false" ht="15.7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</row>
    <row r="488" customFormat="false" ht="15.7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</row>
    <row r="489" customFormat="false" ht="15.7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</row>
    <row r="490" customFormat="false" ht="15.7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</row>
    <row r="491" customFormat="false" ht="15.7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</row>
    <row r="492" customFormat="false" ht="15.7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</row>
    <row r="493" customFormat="false" ht="15.7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</row>
    <row r="494" customFormat="false" ht="15.7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</row>
    <row r="495" customFormat="false" ht="15.7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</row>
    <row r="496" customFormat="false" ht="15.7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</row>
    <row r="497" customFormat="false" ht="15.7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</row>
    <row r="498" customFormat="false" ht="15.7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</row>
    <row r="499" customFormat="false" ht="15.7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</row>
    <row r="500" customFormat="false" ht="15.7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</row>
    <row r="501" customFormat="false" ht="15.7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</row>
    <row r="502" customFormat="false" ht="15.7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</row>
    <row r="503" customFormat="false" ht="15.7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</row>
    <row r="504" customFormat="false" ht="15.7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</row>
    <row r="505" customFormat="false" ht="15.7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</row>
    <row r="506" customFormat="false" ht="15.7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</row>
    <row r="507" customFormat="false" ht="15.7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</row>
    <row r="508" customFormat="false" ht="15.7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</row>
    <row r="509" customFormat="false" ht="15.7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</row>
    <row r="510" customFormat="false" ht="15.7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</row>
    <row r="511" customFormat="false" ht="15.7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</row>
    <row r="512" customFormat="false" ht="15.7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</row>
    <row r="513" customFormat="false" ht="15.7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</row>
    <row r="514" customFormat="false" ht="15.7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</row>
    <row r="515" customFormat="false" ht="15.7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</row>
    <row r="516" customFormat="false" ht="15.7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</row>
    <row r="517" customFormat="false" ht="15.7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</row>
    <row r="518" customFormat="false" ht="15.7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</row>
    <row r="519" customFormat="false" ht="15.7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</row>
    <row r="520" customFormat="false" ht="15.7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</row>
    <row r="521" customFormat="false" ht="15.7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</row>
    <row r="522" customFormat="false" ht="15.7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</row>
    <row r="523" customFormat="false" ht="15.7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</row>
    <row r="524" customFormat="false" ht="15.7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</row>
    <row r="525" customFormat="false" ht="15.7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</row>
    <row r="526" customFormat="false" ht="15.7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</row>
    <row r="527" customFormat="false" ht="15.7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</row>
    <row r="528" customFormat="false" ht="15.7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</row>
    <row r="529" customFormat="false" ht="15.7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</row>
    <row r="530" customFormat="false" ht="15.7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</row>
    <row r="531" customFormat="false" ht="15.7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</row>
    <row r="532" customFormat="false" ht="15.7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</row>
    <row r="533" customFormat="false" ht="15.7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</row>
    <row r="534" customFormat="false" ht="15.7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</row>
    <row r="535" customFormat="false" ht="15.7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</row>
    <row r="536" customFormat="false" ht="15.7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</row>
    <row r="537" customFormat="false" ht="15.7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</row>
    <row r="538" customFormat="false" ht="15.7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</row>
    <row r="539" customFormat="false" ht="15.7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</row>
    <row r="540" customFormat="false" ht="15.7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</row>
    <row r="541" customFormat="false" ht="15.7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</row>
    <row r="542" customFormat="false" ht="15.7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</row>
    <row r="543" customFormat="false" ht="15.7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</row>
    <row r="544" customFormat="false" ht="15.7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</row>
    <row r="545" customFormat="false" ht="15.7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</row>
    <row r="546" customFormat="false" ht="15.7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</row>
    <row r="547" customFormat="false" ht="15.7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</row>
    <row r="548" customFormat="false" ht="15.7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</row>
    <row r="549" customFormat="false" ht="15.7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</row>
    <row r="550" customFormat="false" ht="15.7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</row>
    <row r="551" customFormat="false" ht="15.7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</row>
    <row r="552" customFormat="false" ht="15.7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</row>
    <row r="553" customFormat="false" ht="15.7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</row>
    <row r="554" customFormat="false" ht="15.7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</row>
    <row r="555" customFormat="false" ht="15.7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</row>
    <row r="556" customFormat="false" ht="15.7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</row>
    <row r="557" customFormat="false" ht="15.7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</row>
    <row r="558" customFormat="false" ht="15.7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</row>
    <row r="559" customFormat="false" ht="15.7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</row>
    <row r="560" customFormat="false" ht="15.7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</row>
    <row r="561" customFormat="false" ht="15.7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</row>
    <row r="562" customFormat="false" ht="15.7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</row>
    <row r="563" customFormat="false" ht="15.7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</row>
    <row r="564" customFormat="false" ht="15.7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</row>
    <row r="565" customFormat="false" ht="15.7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</row>
    <row r="566" customFormat="false" ht="15.7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</row>
    <row r="567" customFormat="false" ht="15.7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</row>
    <row r="568" customFormat="false" ht="15.7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</row>
    <row r="569" customFormat="false" ht="15.7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</row>
    <row r="570" customFormat="false" ht="15.7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</row>
    <row r="571" customFormat="false" ht="15.7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</row>
    <row r="572" customFormat="false" ht="15.7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</row>
    <row r="573" customFormat="false" ht="15.7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</row>
    <row r="574" customFormat="false" ht="15.7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</row>
    <row r="575" customFormat="false" ht="15.7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</row>
    <row r="576" customFormat="false" ht="15.7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</row>
    <row r="577" customFormat="false" ht="15.7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</row>
    <row r="578" customFormat="false" ht="15.7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</row>
    <row r="579" customFormat="false" ht="15.7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</row>
    <row r="580" customFormat="false" ht="15.7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</row>
    <row r="581" customFormat="false" ht="15.7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</row>
    <row r="582" customFormat="false" ht="15.7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</row>
    <row r="583" customFormat="false" ht="15.7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</row>
    <row r="584" customFormat="false" ht="15.7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</row>
    <row r="585" customFormat="false" ht="15.7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</row>
    <row r="586" customFormat="false" ht="15.7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</row>
    <row r="587" customFormat="false" ht="15.7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</row>
    <row r="588" customFormat="false" ht="15.7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</row>
    <row r="589" customFormat="false" ht="15.7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</row>
    <row r="590" customFormat="false" ht="15.7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</row>
    <row r="591" customFormat="false" ht="15.7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</row>
    <row r="592" customFormat="false" ht="15.7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</row>
    <row r="593" customFormat="false" ht="15.7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</row>
    <row r="594" customFormat="false" ht="15.7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</row>
    <row r="595" customFormat="false" ht="15.7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</row>
    <row r="596" customFormat="false" ht="15.7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</row>
    <row r="597" customFormat="false" ht="15.7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</row>
    <row r="598" customFormat="false" ht="15.7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</row>
    <row r="599" customFormat="false" ht="15.7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</row>
    <row r="600" customFormat="false" ht="15.7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</row>
    <row r="601" customFormat="false" ht="15.7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</row>
    <row r="602" customFormat="false" ht="15.7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</row>
    <row r="603" customFormat="false" ht="15.7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</row>
    <row r="604" customFormat="false" ht="15.7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</row>
    <row r="605" customFormat="false" ht="15.7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</row>
    <row r="606" customFormat="false" ht="15.7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</row>
    <row r="607" customFormat="false" ht="15.7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</row>
    <row r="608" customFormat="false" ht="15.7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</row>
    <row r="609" customFormat="false" ht="15.7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</row>
    <row r="610" customFormat="false" ht="15.7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</row>
    <row r="611" customFormat="false" ht="15.7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</row>
    <row r="612" customFormat="false" ht="15.7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</row>
    <row r="613" customFormat="false" ht="15.7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</row>
    <row r="614" customFormat="false" ht="15.7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</row>
    <row r="615" customFormat="false" ht="15.7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</row>
    <row r="616" customFormat="false" ht="15.7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</row>
    <row r="617" customFormat="false" ht="15.7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</row>
    <row r="618" customFormat="false" ht="15.7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</row>
    <row r="619" customFormat="false" ht="15.7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</row>
    <row r="620" customFormat="false" ht="15.7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</row>
    <row r="621" customFormat="false" ht="15.7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</row>
    <row r="622" customFormat="false" ht="15.7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</row>
    <row r="623" customFormat="false" ht="15.7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</row>
    <row r="624" customFormat="false" ht="15.7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</row>
    <row r="625" customFormat="false" ht="15.7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</row>
    <row r="626" customFormat="false" ht="15.7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</row>
    <row r="627" customFormat="false" ht="15.7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</row>
    <row r="628" customFormat="false" ht="15.7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</row>
    <row r="629" customFormat="false" ht="15.7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</row>
    <row r="630" customFormat="false" ht="15.7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</row>
    <row r="631" customFormat="false" ht="15.7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</row>
    <row r="632" customFormat="false" ht="15.7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</row>
    <row r="633" customFormat="false" ht="15.7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</row>
    <row r="634" customFormat="false" ht="15.7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</row>
    <row r="635" customFormat="false" ht="15.7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</row>
    <row r="636" customFormat="false" ht="15.7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</row>
    <row r="637" customFormat="false" ht="15.7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</row>
    <row r="638" customFormat="false" ht="15.7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</row>
    <row r="639" customFormat="false" ht="15.7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</row>
    <row r="640" customFormat="false" ht="15.7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</row>
    <row r="641" customFormat="false" ht="15.7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</row>
    <row r="642" customFormat="false" ht="15.7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</row>
    <row r="643" customFormat="false" ht="15.7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</row>
    <row r="644" customFormat="false" ht="15.7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</row>
    <row r="645" customFormat="false" ht="15.7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</row>
    <row r="646" customFormat="false" ht="15.7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</row>
    <row r="647" customFormat="false" ht="15.7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</row>
    <row r="648" customFormat="false" ht="15.7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</row>
    <row r="649" customFormat="false" ht="15.7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</row>
    <row r="650" customFormat="false" ht="15.7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</row>
    <row r="651" customFormat="false" ht="15.7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</row>
    <row r="652" customFormat="false" ht="15.7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</row>
    <row r="653" customFormat="false" ht="15.7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</row>
    <row r="654" customFormat="false" ht="15.7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</row>
    <row r="655" customFormat="false" ht="15.7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</row>
    <row r="656" customFormat="false" ht="15.7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</row>
    <row r="657" customFormat="false" ht="15.7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</row>
    <row r="658" customFormat="false" ht="15.7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</row>
    <row r="659" customFormat="false" ht="15.7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</row>
    <row r="660" customFormat="false" ht="15.7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</row>
    <row r="661" customFormat="false" ht="15.7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</row>
    <row r="662" customFormat="false" ht="15.7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</row>
    <row r="663" customFormat="false" ht="15.7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</row>
    <row r="664" customFormat="false" ht="15.7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</row>
    <row r="665" customFormat="false" ht="15.7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</row>
    <row r="666" customFormat="false" ht="15.7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</row>
    <row r="667" customFormat="false" ht="15.7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</row>
    <row r="668" customFormat="false" ht="15.7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</row>
    <row r="669" customFormat="false" ht="15.7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</row>
    <row r="670" customFormat="false" ht="15.7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</row>
    <row r="671" customFormat="false" ht="15.7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</row>
    <row r="672" customFormat="false" ht="15.7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</row>
    <row r="673" customFormat="false" ht="15.7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</row>
    <row r="674" customFormat="false" ht="15.7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</row>
    <row r="675" customFormat="false" ht="15.7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</row>
    <row r="676" customFormat="false" ht="15.7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</row>
    <row r="677" customFormat="false" ht="15.7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</row>
    <row r="678" customFormat="false" ht="15.7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</row>
    <row r="679" customFormat="false" ht="15.7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</row>
    <row r="680" customFormat="false" ht="15.7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</row>
    <row r="681" customFormat="false" ht="15.7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</row>
    <row r="682" customFormat="false" ht="15.7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</row>
    <row r="683" customFormat="false" ht="15.7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</row>
    <row r="684" customFormat="false" ht="15.7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</row>
    <row r="685" customFormat="false" ht="15.7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</row>
    <row r="686" customFormat="false" ht="15.7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</row>
    <row r="687" customFormat="false" ht="15.7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</row>
    <row r="688" customFormat="false" ht="15.7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</row>
    <row r="689" customFormat="false" ht="15.7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</row>
    <row r="690" customFormat="false" ht="15.7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</row>
    <row r="691" customFormat="false" ht="15.7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</row>
    <row r="692" customFormat="false" ht="15.7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</row>
    <row r="693" customFormat="false" ht="15.7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</row>
    <row r="694" customFormat="false" ht="15.7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</row>
    <row r="695" customFormat="false" ht="15.7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</row>
    <row r="696" customFormat="false" ht="15.7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</row>
    <row r="697" customFormat="false" ht="15.7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</row>
    <row r="698" customFormat="false" ht="15.7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</row>
    <row r="699" customFormat="false" ht="15.7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</row>
    <row r="700" customFormat="false" ht="15.7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</row>
    <row r="701" customFormat="false" ht="15.7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</row>
    <row r="702" customFormat="false" ht="15.7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</row>
    <row r="703" customFormat="false" ht="15.7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</row>
    <row r="704" customFormat="false" ht="15.7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</row>
    <row r="705" customFormat="false" ht="15.7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</row>
    <row r="706" customFormat="false" ht="15.7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</row>
    <row r="707" customFormat="false" ht="15.7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</row>
    <row r="708" customFormat="false" ht="15.7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</row>
    <row r="709" customFormat="false" ht="15.7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</row>
    <row r="710" customFormat="false" ht="15.7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</row>
    <row r="711" customFormat="false" ht="15.7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</row>
    <row r="712" customFormat="false" ht="15.7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</row>
    <row r="713" customFormat="false" ht="15.7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</row>
    <row r="714" customFormat="false" ht="15.7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</row>
    <row r="715" customFormat="false" ht="15.7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</row>
    <row r="716" customFormat="false" ht="15.7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</row>
    <row r="717" customFormat="false" ht="15.7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</row>
    <row r="718" customFormat="false" ht="15.7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</row>
    <row r="719" customFormat="false" ht="15.7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</row>
    <row r="720" customFormat="false" ht="15.7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</row>
    <row r="721" customFormat="false" ht="15.7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</row>
    <row r="722" customFormat="false" ht="15.7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</row>
    <row r="723" customFormat="false" ht="15.7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</row>
    <row r="724" customFormat="false" ht="15.7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</row>
    <row r="725" customFormat="false" ht="15.7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</row>
    <row r="726" customFormat="false" ht="15.7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</row>
    <row r="727" customFormat="false" ht="15.7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</row>
    <row r="728" customFormat="false" ht="15.7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</row>
    <row r="729" customFormat="false" ht="15.7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</row>
    <row r="730" customFormat="false" ht="15.7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</row>
    <row r="731" customFormat="false" ht="15.7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</row>
    <row r="732" customFormat="false" ht="15.7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</row>
    <row r="733" customFormat="false" ht="15.7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</row>
    <row r="734" customFormat="false" ht="15.7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</row>
    <row r="735" customFormat="false" ht="15.7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</row>
    <row r="736" customFormat="false" ht="15.7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</row>
    <row r="737" customFormat="false" ht="15.7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</row>
    <row r="738" customFormat="false" ht="15.7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</row>
    <row r="739" customFormat="false" ht="15.7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</row>
    <row r="740" customFormat="false" ht="15.7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</row>
    <row r="741" customFormat="false" ht="15.7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</row>
    <row r="742" customFormat="false" ht="15.7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</row>
    <row r="743" customFormat="false" ht="15.7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</row>
    <row r="744" customFormat="false" ht="15.7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</row>
    <row r="745" customFormat="false" ht="15.7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</row>
    <row r="746" customFormat="false" ht="15.7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</row>
    <row r="747" customFormat="false" ht="15.7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</row>
    <row r="748" customFormat="false" ht="15.7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</row>
    <row r="749" customFormat="false" ht="15.7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</row>
    <row r="750" customFormat="false" ht="15.7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</row>
    <row r="751" customFormat="false" ht="15.7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</row>
    <row r="752" customFormat="false" ht="15.7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</row>
    <row r="753" customFormat="false" ht="15.7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</row>
    <row r="754" customFormat="false" ht="15.7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</row>
    <row r="755" customFormat="false" ht="15.7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</row>
    <row r="756" customFormat="false" ht="15.7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</row>
    <row r="757" customFormat="false" ht="15.7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</row>
    <row r="758" customFormat="false" ht="15.7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</row>
    <row r="759" customFormat="false" ht="15.7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</row>
    <row r="760" customFormat="false" ht="15.7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</row>
    <row r="761" customFormat="false" ht="15.7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</row>
    <row r="762" customFormat="false" ht="15.7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</row>
    <row r="763" customFormat="false" ht="15.7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</row>
    <row r="764" customFormat="false" ht="15.7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</row>
    <row r="765" customFormat="false" ht="15.7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</row>
    <row r="766" customFormat="false" ht="15.7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</row>
    <row r="767" customFormat="false" ht="15.7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</row>
    <row r="768" customFormat="false" ht="15.7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</row>
    <row r="769" customFormat="false" ht="15.7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</row>
    <row r="770" customFormat="false" ht="15.7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</row>
    <row r="771" customFormat="false" ht="15.7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</row>
    <row r="772" customFormat="false" ht="15.7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</row>
    <row r="773" customFormat="false" ht="15.7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</row>
    <row r="774" customFormat="false" ht="15.7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</row>
    <row r="775" customFormat="false" ht="15.7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</row>
    <row r="776" customFormat="false" ht="15.7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</row>
    <row r="777" customFormat="false" ht="15.7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</row>
    <row r="778" customFormat="false" ht="15.7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</row>
    <row r="779" customFormat="false" ht="15.7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</row>
    <row r="780" customFormat="false" ht="15.7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</row>
    <row r="781" customFormat="false" ht="15.7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</row>
    <row r="782" customFormat="false" ht="15.7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</row>
    <row r="783" customFormat="false" ht="15.7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</row>
    <row r="784" customFormat="false" ht="15.7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</row>
    <row r="785" customFormat="false" ht="15.7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</row>
    <row r="786" customFormat="false" ht="15.7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</row>
    <row r="787" customFormat="false" ht="15.7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</row>
    <row r="788" customFormat="false" ht="15.7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</row>
    <row r="789" customFormat="false" ht="15.7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</row>
    <row r="790" customFormat="false" ht="15.7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</row>
    <row r="791" customFormat="false" ht="15.7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</row>
    <row r="792" customFormat="false" ht="15.7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</row>
    <row r="793" customFormat="false" ht="15.7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</row>
    <row r="794" customFormat="false" ht="15.7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</row>
    <row r="795" customFormat="false" ht="15.7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</row>
    <row r="796" customFormat="false" ht="15.7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</row>
    <row r="797" customFormat="false" ht="15.7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</row>
    <row r="798" customFormat="false" ht="15.7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</row>
    <row r="799" customFormat="false" ht="15.7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</row>
    <row r="800" customFormat="false" ht="15.7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</row>
    <row r="801" customFormat="false" ht="15.7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</row>
    <row r="802" customFormat="false" ht="15.7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</row>
    <row r="803" customFormat="false" ht="15.7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</row>
    <row r="804" customFormat="false" ht="15.7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</row>
    <row r="805" customFormat="false" ht="15.7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</row>
    <row r="806" customFormat="false" ht="15.7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</row>
    <row r="807" customFormat="false" ht="15.7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</row>
    <row r="808" customFormat="false" ht="15.7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</row>
    <row r="809" customFormat="false" ht="15.7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</row>
    <row r="810" customFormat="false" ht="15.7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</row>
    <row r="811" customFormat="false" ht="15.7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</row>
    <row r="812" customFormat="false" ht="15.7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</row>
    <row r="813" customFormat="false" ht="15.7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</row>
    <row r="814" customFormat="false" ht="15.7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</row>
    <row r="815" customFormat="false" ht="15.7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</row>
    <row r="816" customFormat="false" ht="15.7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</row>
    <row r="817" customFormat="false" ht="15.7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</row>
    <row r="818" customFormat="false" ht="15.7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</row>
    <row r="819" customFormat="false" ht="15.7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</row>
    <row r="820" customFormat="false" ht="15.7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</row>
    <row r="821" customFormat="false" ht="15.7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</row>
    <row r="822" customFormat="false" ht="15.7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</row>
    <row r="823" customFormat="false" ht="15.7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</row>
    <row r="824" customFormat="false" ht="15.7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</row>
    <row r="825" customFormat="false" ht="15.7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</row>
    <row r="826" customFormat="false" ht="15.7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</row>
    <row r="827" customFormat="false" ht="15.7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</row>
    <row r="828" customFormat="false" ht="15.7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</row>
    <row r="829" customFormat="false" ht="15.7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</row>
    <row r="830" customFormat="false" ht="15.7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</row>
    <row r="831" customFormat="false" ht="15.7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</row>
    <row r="832" customFormat="false" ht="15.7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</row>
    <row r="833" customFormat="false" ht="15.7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</row>
    <row r="834" customFormat="false" ht="15.7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</row>
    <row r="835" customFormat="false" ht="15.7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</row>
    <row r="836" customFormat="false" ht="15.7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</row>
    <row r="837" customFormat="false" ht="15.7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</row>
    <row r="838" customFormat="false" ht="15.7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</row>
    <row r="839" customFormat="false" ht="15.7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</row>
    <row r="840" customFormat="false" ht="15.7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</row>
    <row r="841" customFormat="false" ht="15.7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</row>
    <row r="842" customFormat="false" ht="15.7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</row>
    <row r="843" customFormat="false" ht="15.7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</row>
    <row r="844" customFormat="false" ht="15.7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</row>
    <row r="845" customFormat="false" ht="15.7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</row>
    <row r="846" customFormat="false" ht="15.7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</row>
    <row r="847" customFormat="false" ht="15.7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</row>
    <row r="848" customFormat="false" ht="15.7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</row>
    <row r="849" customFormat="false" ht="15.7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</row>
    <row r="850" customFormat="false" ht="15.7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</row>
    <row r="851" customFormat="false" ht="15.7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</row>
    <row r="852" customFormat="false" ht="15.7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</row>
    <row r="853" customFormat="false" ht="15.7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</row>
    <row r="854" customFormat="false" ht="15.7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</row>
    <row r="855" customFormat="false" ht="15.7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</row>
    <row r="856" customFormat="false" ht="15.7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</row>
    <row r="857" customFormat="false" ht="15.7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</row>
    <row r="858" customFormat="false" ht="15.7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</row>
    <row r="859" customFormat="false" ht="15.7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</row>
    <row r="860" customFormat="false" ht="15.7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</row>
    <row r="861" customFormat="false" ht="15.7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</row>
    <row r="862" customFormat="false" ht="15.7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</row>
    <row r="863" customFormat="false" ht="15.7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</row>
    <row r="864" customFormat="false" ht="15.7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</row>
    <row r="865" customFormat="false" ht="15.7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</row>
    <row r="866" customFormat="false" ht="15.7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</row>
    <row r="867" customFormat="false" ht="15.7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</row>
    <row r="868" customFormat="false" ht="15.7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</row>
    <row r="869" customFormat="false" ht="15.7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</row>
    <row r="870" customFormat="false" ht="15.7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</row>
    <row r="871" customFormat="false" ht="15.7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</row>
    <row r="872" customFormat="false" ht="15.7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</row>
    <row r="873" customFormat="false" ht="15.7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</row>
    <row r="874" customFormat="false" ht="15.7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</row>
    <row r="875" customFormat="false" ht="15.7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</row>
    <row r="876" customFormat="false" ht="15.7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</row>
    <row r="877" customFormat="false" ht="15.7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</row>
    <row r="878" customFormat="false" ht="15.7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</row>
    <row r="879" customFormat="false" ht="15.7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</row>
    <row r="880" customFormat="false" ht="15.7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</row>
    <row r="881" customFormat="false" ht="15.7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</row>
    <row r="882" customFormat="false" ht="15.7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</row>
    <row r="883" customFormat="false" ht="15.7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</row>
    <row r="884" customFormat="false" ht="15.7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</row>
    <row r="885" customFormat="false" ht="15.7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</row>
    <row r="886" customFormat="false" ht="15.7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</row>
    <row r="887" customFormat="false" ht="15.7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</row>
    <row r="888" customFormat="false" ht="15.7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</row>
    <row r="889" customFormat="false" ht="15.7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</row>
    <row r="890" customFormat="false" ht="15.7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</row>
    <row r="891" customFormat="false" ht="15.7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</row>
    <row r="892" customFormat="false" ht="15.7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</row>
    <row r="893" customFormat="false" ht="15.7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</row>
    <row r="894" customFormat="false" ht="15.7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</row>
    <row r="895" customFormat="false" ht="15.7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</row>
    <row r="896" customFormat="false" ht="15.7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</row>
    <row r="897" customFormat="false" ht="15.7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</row>
    <row r="898" customFormat="false" ht="15.7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</row>
    <row r="899" customFormat="false" ht="15.7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</row>
    <row r="900" customFormat="false" ht="15.7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</row>
    <row r="901" customFormat="false" ht="15.7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</row>
    <row r="902" customFormat="false" ht="15.7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</row>
    <row r="903" customFormat="false" ht="15.7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</row>
    <row r="904" customFormat="false" ht="15.7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</row>
    <row r="905" customFormat="false" ht="15.7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</row>
    <row r="906" customFormat="false" ht="15.7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</row>
    <row r="907" customFormat="false" ht="15.7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</row>
    <row r="908" customFormat="false" ht="15.7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</row>
    <row r="909" customFormat="false" ht="15.7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</row>
    <row r="910" customFormat="false" ht="15.7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</row>
    <row r="911" customFormat="false" ht="15.7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</row>
    <row r="912" customFormat="false" ht="15.7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</row>
    <row r="913" customFormat="false" ht="15.7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</row>
    <row r="914" customFormat="false" ht="15.7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</row>
    <row r="915" customFormat="false" ht="15.7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</row>
    <row r="916" customFormat="false" ht="15.7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</row>
    <row r="917" customFormat="false" ht="15.7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</row>
    <row r="918" customFormat="false" ht="15.7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</row>
    <row r="919" customFormat="false" ht="15.7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</row>
    <row r="920" customFormat="false" ht="15.7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</row>
    <row r="921" customFormat="false" ht="15.7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</row>
    <row r="922" customFormat="false" ht="15.7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</row>
    <row r="923" customFormat="false" ht="15.7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</row>
    <row r="924" customFormat="false" ht="15.7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</row>
    <row r="925" customFormat="false" ht="15.7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</row>
    <row r="926" customFormat="false" ht="15.7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</row>
    <row r="927" customFormat="false" ht="15.7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</row>
    <row r="928" customFormat="false" ht="15.7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</row>
    <row r="929" customFormat="false" ht="15.7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</row>
    <row r="930" customFormat="false" ht="15.7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</row>
    <row r="931" customFormat="false" ht="15.7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</row>
    <row r="932" customFormat="false" ht="15.7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</row>
    <row r="933" customFormat="false" ht="15.7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</row>
    <row r="934" customFormat="false" ht="15.7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</row>
    <row r="935" customFormat="false" ht="15.7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</row>
    <row r="936" customFormat="false" ht="15.7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</row>
    <row r="937" customFormat="false" ht="15.7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</row>
    <row r="938" customFormat="false" ht="15.7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</row>
    <row r="939" customFormat="false" ht="15.7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</row>
    <row r="940" customFormat="false" ht="15.7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</row>
    <row r="941" customFormat="false" ht="15.7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</row>
    <row r="942" customFormat="false" ht="15.7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</row>
    <row r="943" customFormat="false" ht="15.7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</row>
    <row r="944" customFormat="false" ht="15.7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</row>
    <row r="945" customFormat="false" ht="15.7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</row>
    <row r="946" customFormat="false" ht="15.7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</row>
    <row r="947" customFormat="false" ht="15.7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</row>
    <row r="948" customFormat="false" ht="15.7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</row>
    <row r="949" customFormat="false" ht="15.7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</row>
    <row r="950" customFormat="false" ht="15.7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</row>
    <row r="951" customFormat="false" ht="15.7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</row>
    <row r="952" customFormat="false" ht="15.7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</row>
    <row r="953" customFormat="false" ht="15.7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</row>
    <row r="954" customFormat="false" ht="15.7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</row>
    <row r="955" customFormat="false" ht="15.7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</row>
    <row r="956" customFormat="false" ht="15.7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</row>
    <row r="957" customFormat="false" ht="15.7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</row>
    <row r="958" customFormat="false" ht="15.7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</row>
    <row r="959" customFormat="false" ht="15.7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</row>
    <row r="960" customFormat="false" ht="15.7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</row>
    <row r="961" customFormat="false" ht="15.7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</row>
    <row r="962" customFormat="false" ht="15.7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</row>
    <row r="963" customFormat="false" ht="15.7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</row>
    <row r="964" customFormat="false" ht="15.7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</row>
    <row r="965" customFormat="false" ht="15.7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</row>
    <row r="966" customFormat="false" ht="15.7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</row>
    <row r="967" customFormat="false" ht="15.7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</row>
    <row r="968" customFormat="false" ht="15.7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</row>
    <row r="969" customFormat="false" ht="15.7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</row>
    <row r="970" customFormat="false" ht="15.7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</row>
    <row r="971" customFormat="false" ht="15.7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</row>
    <row r="972" customFormat="false" ht="15.7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</row>
    <row r="973" customFormat="false" ht="15.7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</row>
    <row r="974" customFormat="false" ht="15.7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</row>
    <row r="975" customFormat="false" ht="15.7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</row>
    <row r="976" customFormat="false" ht="15.7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</row>
    <row r="977" customFormat="false" ht="15.7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</row>
    <row r="978" customFormat="false" ht="15.7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</row>
    <row r="979" customFormat="false" ht="15.7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</row>
    <row r="980" customFormat="false" ht="15.7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</row>
    <row r="981" customFormat="false" ht="15.7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</row>
    <row r="982" customFormat="false" ht="15.7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</row>
    <row r="983" customFormat="false" ht="15.7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</row>
    <row r="984" customFormat="false" ht="15.7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</row>
    <row r="985" customFormat="false" ht="15.7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</row>
    <row r="986" customFormat="false" ht="15.7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</row>
    <row r="987" customFormat="false" ht="15.7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</row>
    <row r="988" customFormat="false" ht="15.7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</row>
    <row r="989" customFormat="false" ht="15.7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</row>
    <row r="990" customFormat="false" ht="15.7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</row>
    <row r="991" customFormat="false" ht="15.7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</row>
    <row r="992" customFormat="false" ht="15.7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</row>
    <row r="993" customFormat="false" ht="15.7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</row>
    <row r="994" customFormat="false" ht="15.7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</row>
    <row r="995" customFormat="false" ht="15.7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</row>
    <row r="996" customFormat="false" ht="15.7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</row>
    <row r="997" customFormat="false" ht="15.75" hidden="false" customHeight="true" outlineLevel="0" collapsed="false">
      <c r="A997" s="2"/>
      <c r="B997" s="2"/>
      <c r="C997" s="2"/>
      <c r="D997" s="2"/>
      <c r="E997" s="2"/>
      <c r="F997" s="2"/>
      <c r="G997" s="2"/>
      <c r="H997" s="2"/>
    </row>
    <row r="998" customFormat="false" ht="15.75" hidden="false" customHeight="true" outlineLevel="0" collapsed="false">
      <c r="A998" s="2"/>
      <c r="B998" s="2"/>
      <c r="C998" s="2"/>
      <c r="D998" s="2"/>
      <c r="E998" s="2"/>
      <c r="F998" s="2"/>
      <c r="G998" s="2"/>
      <c r="H998" s="2"/>
    </row>
    <row r="999" customFormat="false" ht="15.75" hidden="false" customHeight="true" outlineLevel="0" collapsed="false">
      <c r="A999" s="2"/>
      <c r="B999" s="2"/>
      <c r="C999" s="2"/>
      <c r="D999" s="2"/>
      <c r="E999" s="2"/>
      <c r="F999" s="2"/>
      <c r="G999" s="2"/>
      <c r="H999" s="2"/>
    </row>
    <row r="1000" customFormat="false" ht="15.75" hidden="false" customHeight="true" outlineLevel="0" collapsed="false">
      <c r="A1000" s="2"/>
      <c r="B1000" s="2"/>
      <c r="C1000" s="2"/>
      <c r="D1000" s="2"/>
      <c r="E1000" s="2"/>
      <c r="F1000" s="2"/>
      <c r="G1000" s="2"/>
      <c r="H1000" s="2"/>
    </row>
  </sheetData>
  <mergeCells count="22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25:G25"/>
    <mergeCell ref="B26:H26"/>
    <mergeCell ref="D28:H28"/>
    <mergeCell ref="B31:G31"/>
    <mergeCell ref="B32:G32"/>
    <mergeCell ref="B33:G33"/>
    <mergeCell ref="B35:G35"/>
    <mergeCell ref="B36:G36"/>
    <mergeCell ref="B37:G37"/>
  </mergeCells>
  <conditionalFormatting sqref="H39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  <c r="G1" s="2"/>
      <c r="H1" s="2"/>
    </row>
    <row r="2" customFormat="false" ht="19.7" hidden="false" customHeight="false" outlineLevel="0" collapsed="false">
      <c r="A2" s="2"/>
      <c r="B2" s="3" t="s">
        <v>823</v>
      </c>
      <c r="C2" s="3"/>
      <c r="D2" s="3"/>
      <c r="E2" s="3"/>
      <c r="F2" s="3"/>
      <c r="G2" s="3"/>
      <c r="H2" s="3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true" outlineLevel="0" collapsed="false">
      <c r="A4" s="2"/>
      <c r="B4" s="4" t="s">
        <v>785</v>
      </c>
      <c r="C4" s="5" t="s">
        <v>824</v>
      </c>
      <c r="D4" s="5"/>
      <c r="E4" s="5"/>
      <c r="F4" s="5"/>
      <c r="G4" s="5"/>
      <c r="H4" s="5"/>
    </row>
    <row r="5" customFormat="false" ht="15" hidden="false" customHeight="true" outlineLevel="0" collapsed="false">
      <c r="A5" s="2"/>
      <c r="B5" s="4" t="s">
        <v>787</v>
      </c>
      <c r="C5" s="5" t="s">
        <v>825</v>
      </c>
      <c r="D5" s="5"/>
      <c r="E5" s="5"/>
      <c r="F5" s="5"/>
      <c r="G5" s="5"/>
      <c r="H5" s="5"/>
    </row>
    <row r="6" customFormat="false" ht="15" hidden="false" customHeight="true" outlineLevel="0" collapsed="false">
      <c r="A6" s="2"/>
      <c r="B6" s="4" t="s">
        <v>18</v>
      </c>
      <c r="C6" s="5" t="s">
        <v>826</v>
      </c>
      <c r="D6" s="5"/>
      <c r="E6" s="5"/>
      <c r="F6" s="5"/>
      <c r="G6" s="5"/>
      <c r="H6" s="5"/>
    </row>
    <row r="7" customFormat="false" ht="15" hidden="false" customHeight="true" outlineLevel="0" collapsed="false">
      <c r="A7" s="2"/>
      <c r="B7" s="4" t="s">
        <v>790</v>
      </c>
      <c r="C7" s="5" t="s">
        <v>827</v>
      </c>
      <c r="D7" s="5"/>
      <c r="E7" s="5"/>
      <c r="F7" s="5"/>
      <c r="G7" s="5"/>
      <c r="H7" s="5"/>
    </row>
    <row r="8" customFormat="false" ht="15" hidden="false" customHeight="false" outlineLevel="0" collapsed="false">
      <c r="A8" s="2"/>
      <c r="B8" s="4" t="s">
        <v>792</v>
      </c>
      <c r="C8" s="43" t="n">
        <f aca="false">RINGKASAN!$K$16</f>
        <v>75519821</v>
      </c>
      <c r="D8" s="43"/>
      <c r="E8" s="43"/>
      <c r="F8" s="43"/>
      <c r="G8" s="43"/>
      <c r="H8" s="43"/>
    </row>
    <row r="9" customFormat="false" ht="15" hidden="false" customHeight="true" outlineLevel="0" collapsed="false">
      <c r="A9" s="2"/>
      <c r="B9" s="4" t="s">
        <v>81</v>
      </c>
      <c r="C9" s="5" t="s">
        <v>793</v>
      </c>
      <c r="D9" s="5"/>
      <c r="E9" s="5"/>
      <c r="F9" s="5"/>
      <c r="G9" s="5"/>
      <c r="H9" s="5"/>
    </row>
    <row r="10" customFormat="false" ht="15" hidden="false" customHeight="true" outlineLevel="0" collapsed="false">
      <c r="A10" s="2"/>
      <c r="B10" s="4" t="s">
        <v>9</v>
      </c>
      <c r="C10" s="5" t="s">
        <v>10</v>
      </c>
      <c r="D10" s="5"/>
      <c r="E10" s="5"/>
      <c r="F10" s="5"/>
      <c r="G10" s="5"/>
      <c r="H10" s="5"/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</row>
    <row r="12" customFormat="false" ht="21.75" hidden="false" customHeight="true" outlineLevel="0" collapsed="false">
      <c r="A12" s="2"/>
      <c r="B12" s="15" t="s">
        <v>794</v>
      </c>
      <c r="C12" s="15"/>
      <c r="D12" s="15"/>
      <c r="E12" s="15"/>
      <c r="F12" s="15"/>
      <c r="G12" s="15"/>
      <c r="H12" s="15"/>
    </row>
    <row r="13" customFormat="false" ht="27.75" hidden="false" customHeight="true" outlineLevel="0" collapsed="false">
      <c r="A13" s="2"/>
      <c r="B13" s="7" t="s">
        <v>16</v>
      </c>
      <c r="C13" s="7" t="s">
        <v>795</v>
      </c>
      <c r="D13" s="7" t="s">
        <v>796</v>
      </c>
      <c r="E13" s="7" t="s">
        <v>797</v>
      </c>
      <c r="F13" s="7" t="s">
        <v>89</v>
      </c>
      <c r="G13" s="7" t="s">
        <v>90</v>
      </c>
      <c r="H13" s="7" t="s">
        <v>798</v>
      </c>
    </row>
    <row r="14" customFormat="false" ht="21.75" hidden="false" customHeight="true" outlineLevel="0" collapsed="false">
      <c r="A14" s="2"/>
      <c r="B14" s="33" t="s">
        <v>799</v>
      </c>
      <c r="C14" s="34" t="s">
        <v>800</v>
      </c>
      <c r="D14" s="35"/>
      <c r="E14" s="35"/>
      <c r="F14" s="35"/>
      <c r="G14" s="35"/>
      <c r="H14" s="35"/>
    </row>
    <row r="15" customFormat="false" ht="36" hidden="false" customHeight="true" outlineLevel="0" collapsed="false">
      <c r="A15" s="2"/>
      <c r="B15" s="9" t="s">
        <v>801</v>
      </c>
      <c r="C15" s="17" t="s">
        <v>93</v>
      </c>
      <c r="D15" s="36" t="n">
        <v>40</v>
      </c>
      <c r="E15" s="36" t="n">
        <v>40</v>
      </c>
      <c r="F15" s="18" t="s">
        <v>94</v>
      </c>
      <c r="G15" s="8" t="n">
        <f aca="false">'Master of Price'!$G$12</f>
        <v>352000</v>
      </c>
      <c r="H15" s="8" t="n">
        <f aca="false">E15*G15</f>
        <v>14080000</v>
      </c>
    </row>
    <row r="16" customFormat="false" ht="27.75" hidden="false" customHeight="true" outlineLevel="0" collapsed="false">
      <c r="A16" s="2"/>
      <c r="B16" s="9" t="s">
        <v>802</v>
      </c>
      <c r="C16" s="17" t="s">
        <v>96</v>
      </c>
      <c r="D16" s="36" t="n">
        <v>40</v>
      </c>
      <c r="E16" s="36" t="n">
        <v>40</v>
      </c>
      <c r="F16" s="18" t="s">
        <v>94</v>
      </c>
      <c r="G16" s="8" t="n">
        <f aca="false">'Master of Price'!$G$13</f>
        <v>100000</v>
      </c>
      <c r="H16" s="8" t="n">
        <f aca="false">E16*G16</f>
        <v>4000000</v>
      </c>
    </row>
    <row r="17" customFormat="false" ht="27.75" hidden="false" customHeight="true" outlineLevel="0" collapsed="false">
      <c r="A17" s="2"/>
      <c r="B17" s="9" t="s">
        <v>803</v>
      </c>
      <c r="C17" s="17" t="s">
        <v>98</v>
      </c>
      <c r="D17" s="36" t="n">
        <v>40</v>
      </c>
      <c r="E17" s="36" t="n">
        <v>40</v>
      </c>
      <c r="F17" s="18" t="s">
        <v>94</v>
      </c>
      <c r="G17" s="8" t="n">
        <f aca="false">'Master of Price'!$G$14</f>
        <v>28000</v>
      </c>
      <c r="H17" s="8" t="n">
        <f aca="false">E17*G17</f>
        <v>1120000</v>
      </c>
    </row>
    <row r="18" customFormat="false" ht="27.75" hidden="false" customHeight="true" outlineLevel="0" collapsed="false">
      <c r="A18" s="2"/>
      <c r="B18" s="9" t="s">
        <v>804</v>
      </c>
      <c r="C18" s="17" t="s">
        <v>100</v>
      </c>
      <c r="D18" s="36" t="n">
        <v>40</v>
      </c>
      <c r="E18" s="36" t="n">
        <v>40</v>
      </c>
      <c r="F18" s="18" t="s">
        <v>94</v>
      </c>
      <c r="G18" s="8" t="n">
        <f aca="false">'Master of Price'!$G$15</f>
        <v>45000</v>
      </c>
      <c r="H18" s="8" t="n">
        <f aca="false">E18*G18</f>
        <v>1800000</v>
      </c>
    </row>
    <row r="19" customFormat="false" ht="27.75" hidden="false" customHeight="true" outlineLevel="0" collapsed="false">
      <c r="A19" s="2"/>
      <c r="B19" s="9" t="s">
        <v>805</v>
      </c>
      <c r="C19" s="17" t="s">
        <v>102</v>
      </c>
      <c r="D19" s="36" t="n">
        <v>40</v>
      </c>
      <c r="E19" s="36" t="n">
        <v>40</v>
      </c>
      <c r="F19" s="18" t="s">
        <v>94</v>
      </c>
      <c r="G19" s="8" t="n">
        <f aca="false">'Master of Price'!$G$16</f>
        <v>75000</v>
      </c>
      <c r="H19" s="8" t="n">
        <f aca="false">E19*G19</f>
        <v>3000000</v>
      </c>
    </row>
    <row r="20" customFormat="false" ht="25.5" hidden="false" customHeight="true" outlineLevel="0" collapsed="false">
      <c r="A20" s="2"/>
      <c r="B20" s="23" t="s">
        <v>806</v>
      </c>
      <c r="C20" s="23"/>
      <c r="D20" s="23"/>
      <c r="E20" s="23"/>
      <c r="F20" s="23"/>
      <c r="G20" s="23"/>
      <c r="H20" s="11" t="n">
        <f aca="false">SUM(H15:H19)</f>
        <v>24000000</v>
      </c>
    </row>
    <row r="21" customFormat="false" ht="21.75" hidden="false" customHeight="true" outlineLevel="0" collapsed="false">
      <c r="A21" s="2"/>
      <c r="B21" s="15" t="s">
        <v>807</v>
      </c>
      <c r="C21" s="15"/>
      <c r="D21" s="15"/>
      <c r="E21" s="15"/>
      <c r="F21" s="15"/>
      <c r="G21" s="15"/>
      <c r="H21" s="15"/>
    </row>
    <row r="22" customFormat="false" ht="27.75" hidden="false" customHeight="true" outlineLevel="0" collapsed="false">
      <c r="A22" s="2"/>
      <c r="B22" s="7" t="s">
        <v>16</v>
      </c>
      <c r="C22" s="7" t="s">
        <v>795</v>
      </c>
      <c r="D22" s="7" t="s">
        <v>796</v>
      </c>
      <c r="E22" s="7" t="s">
        <v>797</v>
      </c>
      <c r="F22" s="7" t="s">
        <v>89</v>
      </c>
      <c r="G22" s="7" t="s">
        <v>90</v>
      </c>
      <c r="H22" s="7" t="s">
        <v>798</v>
      </c>
    </row>
    <row r="23" customFormat="false" ht="21.75" hidden="false" customHeight="true" outlineLevel="0" collapsed="false">
      <c r="A23" s="2"/>
      <c r="B23" s="33" t="s">
        <v>808</v>
      </c>
      <c r="C23" s="34" t="s">
        <v>809</v>
      </c>
      <c r="D23" s="35"/>
      <c r="E23" s="35"/>
      <c r="F23" s="35"/>
      <c r="G23" s="35"/>
      <c r="H23" s="35"/>
    </row>
    <row r="24" customFormat="false" ht="27.75" hidden="false" customHeight="true" outlineLevel="0" collapsed="false">
      <c r="A24" s="2"/>
      <c r="B24" s="9" t="s">
        <v>810</v>
      </c>
      <c r="C24" s="17" t="s">
        <v>116</v>
      </c>
      <c r="D24" s="36" t="n">
        <v>5.07</v>
      </c>
      <c r="E24" s="36" t="n">
        <v>5.07</v>
      </c>
      <c r="F24" s="18" t="s">
        <v>114</v>
      </c>
      <c r="G24" s="8" t="n">
        <f aca="false">'Master of Price'!$G$22</f>
        <v>47500</v>
      </c>
      <c r="H24" s="8" t="n">
        <f aca="false">E24*G24</f>
        <v>240825</v>
      </c>
    </row>
    <row r="25" customFormat="false" ht="21.75" hidden="false" customHeight="true" outlineLevel="0" collapsed="false">
      <c r="A25" s="2"/>
      <c r="B25" s="9" t="s">
        <v>828</v>
      </c>
      <c r="C25" s="17" t="s">
        <v>118</v>
      </c>
      <c r="D25" s="36" t="n">
        <v>0.39</v>
      </c>
      <c r="E25" s="36" t="n">
        <v>0.39</v>
      </c>
      <c r="F25" s="18" t="s">
        <v>114</v>
      </c>
      <c r="G25" s="8" t="n">
        <f aca="false">'Master of Price'!$G$23</f>
        <v>90000</v>
      </c>
      <c r="H25" s="8" t="n">
        <f aca="false">E25*G25</f>
        <v>35100</v>
      </c>
    </row>
    <row r="26" customFormat="false" ht="21.75" hidden="false" customHeight="true" outlineLevel="0" collapsed="false">
      <c r="A26" s="2"/>
      <c r="B26" s="9" t="s">
        <v>829</v>
      </c>
      <c r="C26" s="17" t="s">
        <v>120</v>
      </c>
      <c r="D26" s="36" t="n">
        <v>0.08</v>
      </c>
      <c r="E26" s="36" t="n">
        <v>0.08</v>
      </c>
      <c r="F26" s="18" t="s">
        <v>114</v>
      </c>
      <c r="G26" s="8" t="n">
        <f aca="false">'Master of Price'!$G$24</f>
        <v>130000</v>
      </c>
      <c r="H26" s="8" t="n">
        <f aca="false">E26*G26</f>
        <v>10400</v>
      </c>
    </row>
    <row r="27" customFormat="false" ht="27.75" hidden="false" customHeight="true" outlineLevel="0" collapsed="false">
      <c r="A27" s="2"/>
      <c r="B27" s="9" t="s">
        <v>830</v>
      </c>
      <c r="C27" s="17" t="s">
        <v>122</v>
      </c>
      <c r="D27" s="36" t="n">
        <v>3.9</v>
      </c>
      <c r="E27" s="36" t="n">
        <v>3.9</v>
      </c>
      <c r="F27" s="18" t="s">
        <v>114</v>
      </c>
      <c r="G27" s="8" t="n">
        <f aca="false">'Master of Price'!$G$25</f>
        <v>700000</v>
      </c>
      <c r="H27" s="8" t="n">
        <f aca="false">E27*G27</f>
        <v>2730000</v>
      </c>
    </row>
    <row r="28" customFormat="false" ht="36" hidden="false" customHeight="true" outlineLevel="0" collapsed="false">
      <c r="A28" s="2"/>
      <c r="B28" s="9" t="s">
        <v>831</v>
      </c>
      <c r="C28" s="17" t="s">
        <v>124</v>
      </c>
      <c r="D28" s="36" t="n">
        <v>0.975</v>
      </c>
      <c r="E28" s="36" t="n">
        <v>0.975</v>
      </c>
      <c r="F28" s="18" t="s">
        <v>114</v>
      </c>
      <c r="G28" s="8" t="n">
        <f aca="false">'Master of Price'!$G$26</f>
        <v>1000000</v>
      </c>
      <c r="H28" s="8" t="n">
        <f aca="false">E28*G28</f>
        <v>975000</v>
      </c>
    </row>
    <row r="29" customFormat="false" ht="36" hidden="false" customHeight="true" outlineLevel="0" collapsed="false">
      <c r="A29" s="2"/>
      <c r="B29" s="9" t="s">
        <v>832</v>
      </c>
      <c r="C29" s="17" t="s">
        <v>113</v>
      </c>
      <c r="D29" s="36" t="n">
        <v>0.1</v>
      </c>
      <c r="E29" s="36" t="n">
        <v>0.1</v>
      </c>
      <c r="F29" s="18" t="s">
        <v>114</v>
      </c>
      <c r="G29" s="8" t="n">
        <f aca="false">'Master of Price'!$G$21</f>
        <v>1000000</v>
      </c>
      <c r="H29" s="8" t="n">
        <f aca="false">E29*G29</f>
        <v>100000</v>
      </c>
    </row>
    <row r="30" customFormat="false" ht="36" hidden="false" customHeight="true" outlineLevel="0" collapsed="false">
      <c r="A30" s="2"/>
      <c r="B30" s="9" t="s">
        <v>833</v>
      </c>
      <c r="C30" s="17" t="s">
        <v>128</v>
      </c>
      <c r="D30" s="36" t="n">
        <v>1</v>
      </c>
      <c r="E30" s="36" t="n">
        <v>1</v>
      </c>
      <c r="F30" s="18" t="s">
        <v>129</v>
      </c>
      <c r="G30" s="8" t="n">
        <f aca="false">'Master of Price'!$G$28</f>
        <v>4500000</v>
      </c>
      <c r="H30" s="8" t="n">
        <f aca="false">E30*G30</f>
        <v>4500000</v>
      </c>
    </row>
    <row r="31" customFormat="false" ht="25.5" hidden="false" customHeight="true" outlineLevel="0" collapsed="false">
      <c r="A31" s="2"/>
      <c r="B31" s="23" t="s">
        <v>811</v>
      </c>
      <c r="C31" s="23"/>
      <c r="D31" s="23"/>
      <c r="E31" s="23"/>
      <c r="F31" s="23"/>
      <c r="G31" s="23"/>
      <c r="H31" s="11" t="n">
        <f aca="false">SUM(H24:H30)</f>
        <v>8591325</v>
      </c>
    </row>
    <row r="32" customFormat="false" ht="21.75" hidden="false" customHeight="true" outlineLevel="0" collapsed="false">
      <c r="A32" s="2"/>
      <c r="B32" s="15" t="s">
        <v>834</v>
      </c>
      <c r="C32" s="15"/>
      <c r="D32" s="15"/>
      <c r="E32" s="15"/>
      <c r="F32" s="15"/>
      <c r="G32" s="15"/>
      <c r="H32" s="15"/>
    </row>
    <row r="33" customFormat="false" ht="27.75" hidden="false" customHeight="true" outlineLevel="0" collapsed="false">
      <c r="A33" s="2"/>
      <c r="B33" s="7" t="s">
        <v>16</v>
      </c>
      <c r="C33" s="7" t="s">
        <v>795</v>
      </c>
      <c r="D33" s="7" t="s">
        <v>796</v>
      </c>
      <c r="E33" s="7" t="s">
        <v>797</v>
      </c>
      <c r="F33" s="7" t="s">
        <v>89</v>
      </c>
      <c r="G33" s="7" t="s">
        <v>90</v>
      </c>
      <c r="H33" s="7" t="s">
        <v>798</v>
      </c>
    </row>
    <row r="34" customFormat="false" ht="21.75" hidden="false" customHeight="true" outlineLevel="0" collapsed="false">
      <c r="A34" s="2"/>
      <c r="B34" s="33" t="s">
        <v>813</v>
      </c>
      <c r="C34" s="34" t="s">
        <v>835</v>
      </c>
      <c r="D34" s="35"/>
      <c r="E34" s="35"/>
      <c r="F34" s="35"/>
      <c r="G34" s="35"/>
      <c r="H34" s="35"/>
    </row>
    <row r="35" customFormat="false" ht="36" hidden="false" customHeight="true" outlineLevel="0" collapsed="false">
      <c r="A35" s="2"/>
      <c r="B35" s="9" t="s">
        <v>815</v>
      </c>
      <c r="C35" s="17" t="s">
        <v>132</v>
      </c>
      <c r="D35" s="36" t="n">
        <v>1</v>
      </c>
      <c r="E35" s="36" t="n">
        <v>1</v>
      </c>
      <c r="F35" s="18" t="s">
        <v>133</v>
      </c>
      <c r="G35" s="8" t="n">
        <f aca="false">'Master of Price'!$G$29</f>
        <v>24000000</v>
      </c>
      <c r="H35" s="8" t="n">
        <f aca="false">E35*G35</f>
        <v>24000000</v>
      </c>
    </row>
    <row r="36" customFormat="false" ht="27.75" hidden="false" customHeight="true" outlineLevel="0" collapsed="false">
      <c r="A36" s="2"/>
      <c r="B36" s="9" t="s">
        <v>816</v>
      </c>
      <c r="C36" s="17" t="s">
        <v>135</v>
      </c>
      <c r="D36" s="36" t="n">
        <v>1</v>
      </c>
      <c r="E36" s="36" t="n">
        <v>1</v>
      </c>
      <c r="F36" s="18" t="s">
        <v>136</v>
      </c>
      <c r="G36" s="8" t="n">
        <f aca="false">'Master of Price'!$G$30</f>
        <v>1500000</v>
      </c>
      <c r="H36" s="8" t="n">
        <f aca="false">E36*G36</f>
        <v>1500000</v>
      </c>
    </row>
    <row r="37" customFormat="false" ht="36" hidden="false" customHeight="true" outlineLevel="0" collapsed="false">
      <c r="A37" s="2"/>
      <c r="B37" s="9" t="s">
        <v>836</v>
      </c>
      <c r="C37" s="17" t="s">
        <v>138</v>
      </c>
      <c r="D37" s="36" t="n">
        <v>5</v>
      </c>
      <c r="E37" s="36" t="n">
        <v>5</v>
      </c>
      <c r="F37" s="18" t="s">
        <v>133</v>
      </c>
      <c r="G37" s="8" t="n">
        <f aca="false">'Master of Price'!$G$31</f>
        <v>2100000</v>
      </c>
      <c r="H37" s="8" t="n">
        <f aca="false">E37*G37</f>
        <v>10500000</v>
      </c>
    </row>
    <row r="38" customFormat="false" ht="36" hidden="false" customHeight="true" outlineLevel="0" collapsed="false">
      <c r="A38" s="2"/>
      <c r="B38" s="9" t="s">
        <v>837</v>
      </c>
      <c r="C38" s="17" t="s">
        <v>140</v>
      </c>
      <c r="D38" s="36" t="n">
        <v>1</v>
      </c>
      <c r="E38" s="36" t="n">
        <v>1</v>
      </c>
      <c r="F38" s="18" t="s">
        <v>136</v>
      </c>
      <c r="G38" s="8" t="n">
        <f aca="false">'Master of Price'!$G$32</f>
        <v>2500000</v>
      </c>
      <c r="H38" s="8" t="n">
        <f aca="false">E38*G38</f>
        <v>2500000</v>
      </c>
    </row>
    <row r="39" customFormat="false" ht="25.5" hidden="false" customHeight="true" outlineLevel="0" collapsed="false">
      <c r="A39" s="2"/>
      <c r="B39" s="23" t="s">
        <v>838</v>
      </c>
      <c r="C39" s="23"/>
      <c r="D39" s="23"/>
      <c r="E39" s="23"/>
      <c r="F39" s="23"/>
      <c r="G39" s="23"/>
      <c r="H39" s="11" t="n">
        <f aca="false">SUM(H35:H38)</f>
        <v>38500000</v>
      </c>
    </row>
    <row r="40" customFormat="false" ht="21.75" hidden="false" customHeight="true" outlineLevel="0" collapsed="false">
      <c r="A40" s="2"/>
      <c r="B40" s="37" t="s">
        <v>818</v>
      </c>
      <c r="C40" s="37"/>
      <c r="D40" s="37"/>
      <c r="E40" s="37"/>
      <c r="F40" s="37"/>
      <c r="G40" s="37"/>
      <c r="H40" s="38" t="n">
        <f aca="false">H43-(H20+H31+H39)</f>
        <v>4428496</v>
      </c>
    </row>
    <row r="41" customFormat="false" ht="27.75" hidden="false" customHeight="true" outlineLevel="0" collapsed="false">
      <c r="A41" s="2"/>
      <c r="B41" s="10" t="s">
        <v>819</v>
      </c>
      <c r="C41" s="10"/>
      <c r="D41" s="10"/>
      <c r="E41" s="10"/>
      <c r="F41" s="10"/>
      <c r="G41" s="10"/>
      <c r="H41" s="39" t="n">
        <f aca="false">H20+H31+H39+H40</f>
        <v>75519821</v>
      </c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</row>
    <row r="43" customFormat="false" ht="21.75" hidden="false" customHeight="true" outlineLevel="0" collapsed="false">
      <c r="A43" s="2"/>
      <c r="B43" s="21" t="s">
        <v>820</v>
      </c>
      <c r="C43" s="21"/>
      <c r="D43" s="21"/>
      <c r="E43" s="21"/>
      <c r="F43" s="21"/>
      <c r="G43" s="21"/>
      <c r="H43" s="40" t="n">
        <f aca="false">RINGKASAN!$K$16</f>
        <v>75519821</v>
      </c>
    </row>
    <row r="44" customFormat="false" ht="21.75" hidden="false" customHeight="true" outlineLevel="0" collapsed="false">
      <c r="A44" s="2"/>
      <c r="B44" s="41" t="s">
        <v>821</v>
      </c>
      <c r="C44" s="41"/>
      <c r="D44" s="41"/>
      <c r="E44" s="41"/>
      <c r="F44" s="41"/>
      <c r="G44" s="41"/>
      <c r="H44" s="8" t="n">
        <f aca="false">H41-H43</f>
        <v>0</v>
      </c>
    </row>
    <row r="45" customFormat="false" ht="21.75" hidden="false" customHeight="true" outlineLevel="0" collapsed="false">
      <c r="A45" s="2"/>
      <c r="B45" s="42" t="s">
        <v>822</v>
      </c>
      <c r="C45" s="42"/>
      <c r="D45" s="42"/>
      <c r="E45" s="42"/>
      <c r="F45" s="42"/>
      <c r="G45" s="42"/>
      <c r="H45" s="37" t="str">
        <f aca="false">IF(H40&lt;0,"OVER BUDGET","OK")</f>
        <v>OK</v>
      </c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</row>
    <row r="61" customFormat="false" ht="15" hidden="false" customHeight="false" outlineLevel="0" collapsed="false">
      <c r="A61" s="2"/>
      <c r="B61" s="2"/>
      <c r="C61" s="2"/>
      <c r="D61" s="2"/>
      <c r="E61" s="2"/>
      <c r="F61" s="2"/>
      <c r="G61" s="2"/>
      <c r="H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  <c r="G62" s="2"/>
      <c r="H62" s="2"/>
    </row>
    <row r="63" customFormat="false" ht="15" hidden="false" customHeight="false" outlineLevel="0" collapsed="false">
      <c r="A63" s="2"/>
      <c r="B63" s="2"/>
      <c r="C63" s="2"/>
      <c r="D63" s="2"/>
      <c r="E63" s="2"/>
      <c r="F63" s="2"/>
      <c r="G63" s="2"/>
      <c r="H63" s="2"/>
    </row>
    <row r="64" customFormat="false" ht="15" hidden="false" customHeight="false" outlineLevel="0" collapsed="false">
      <c r="A64" s="2"/>
      <c r="B64" s="2"/>
      <c r="C64" s="2"/>
      <c r="D64" s="2"/>
      <c r="E64" s="2"/>
      <c r="F64" s="2"/>
      <c r="G64" s="2"/>
      <c r="H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</row>
    <row r="66" customFormat="false" ht="15" hidden="false" customHeight="false" outlineLevel="0" collapsed="false">
      <c r="A66" s="2"/>
      <c r="B66" s="2"/>
      <c r="C66" s="2"/>
      <c r="D66" s="2"/>
      <c r="E66" s="2"/>
      <c r="F66" s="2"/>
      <c r="G66" s="2"/>
      <c r="H66" s="2"/>
    </row>
    <row r="67" customFormat="false" ht="15" hidden="false" customHeight="false" outlineLevel="0" collapsed="false">
      <c r="A67" s="2"/>
      <c r="B67" s="2"/>
      <c r="C67" s="2"/>
      <c r="D67" s="2"/>
      <c r="E67" s="2"/>
      <c r="F67" s="2"/>
      <c r="G67" s="2"/>
      <c r="H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"/>
      <c r="H70" s="2"/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</row>
    <row r="250" customFormat="false" ht="15.7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</row>
    <row r="251" customFormat="false" ht="15.7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</row>
    <row r="252" customFormat="false" ht="15.7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</row>
    <row r="253" customFormat="false" ht="15.7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</row>
    <row r="254" customFormat="false" ht="15.7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</row>
    <row r="255" customFormat="false" ht="15.7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</row>
    <row r="256" customFormat="false" ht="15.7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</row>
    <row r="257" customFormat="false" ht="15.7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</row>
    <row r="258" customFormat="false" ht="15.7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</row>
    <row r="259" customFormat="false" ht="15.7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</row>
    <row r="260" customFormat="false" ht="15.7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</row>
    <row r="261" customFormat="false" ht="15.7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</row>
    <row r="262" customFormat="false" ht="15.7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</row>
    <row r="263" customFormat="false" ht="15.7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</row>
    <row r="264" customFormat="false" ht="15.7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</row>
    <row r="265" customFormat="false" ht="15.7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</row>
    <row r="266" customFormat="false" ht="15.7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</row>
    <row r="267" customFormat="false" ht="15.7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</row>
    <row r="268" customFormat="false" ht="15.7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</row>
    <row r="269" customFormat="false" ht="15.7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</row>
    <row r="270" customFormat="false" ht="15.7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</row>
    <row r="271" customFormat="false" ht="15.7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</row>
    <row r="272" customFormat="false" ht="15.7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</row>
    <row r="273" customFormat="false" ht="15.7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</row>
    <row r="274" customFormat="false" ht="15.7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</row>
    <row r="275" customFormat="false" ht="15.7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</row>
    <row r="276" customFormat="false" ht="15.7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</row>
    <row r="277" customFormat="false" ht="15.7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</row>
    <row r="278" customFormat="false" ht="15.7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</row>
    <row r="279" customFormat="false" ht="15.7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</row>
    <row r="280" customFormat="false" ht="15.7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</row>
    <row r="281" customFormat="false" ht="15.7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</row>
    <row r="282" customFormat="false" ht="15.7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</row>
    <row r="283" customFormat="false" ht="15.7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</row>
    <row r="284" customFormat="false" ht="15.7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</row>
    <row r="285" customFormat="false" ht="15.7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</row>
    <row r="286" customFormat="false" ht="15.7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</row>
    <row r="287" customFormat="false" ht="15.7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</row>
    <row r="288" customFormat="false" ht="15.7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</row>
    <row r="289" customFormat="false" ht="15.7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</row>
    <row r="290" customFormat="false" ht="15.7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</row>
    <row r="291" customFormat="false" ht="15.7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</row>
    <row r="292" customFormat="false" ht="15.7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</row>
    <row r="293" customFormat="false" ht="15.7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</row>
    <row r="294" customFormat="false" ht="15.7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</row>
    <row r="295" customFormat="false" ht="15.7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</row>
    <row r="296" customFormat="false" ht="15.7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</row>
    <row r="297" customFormat="false" ht="15.7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</row>
    <row r="298" customFormat="false" ht="15.7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</row>
    <row r="299" customFormat="false" ht="15.7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</row>
    <row r="300" customFormat="false" ht="15.7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</row>
    <row r="301" customFormat="false" ht="15.7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</row>
    <row r="302" customFormat="false" ht="15.7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</row>
    <row r="303" customFormat="false" ht="15.7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</row>
    <row r="304" customFormat="false" ht="15.7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</row>
    <row r="305" customFormat="false" ht="15.7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</row>
    <row r="306" customFormat="false" ht="15.7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</row>
    <row r="307" customFormat="false" ht="15.7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</row>
    <row r="308" customFormat="false" ht="15.7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</row>
    <row r="309" customFormat="false" ht="15.7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</row>
    <row r="310" customFormat="false" ht="15.7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</row>
    <row r="311" customFormat="false" ht="15.7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</row>
    <row r="312" customFormat="false" ht="15.7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</row>
    <row r="313" customFormat="false" ht="15.7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</row>
    <row r="314" customFormat="false" ht="15.7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</row>
    <row r="315" customFormat="false" ht="15.7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</row>
    <row r="316" customFormat="false" ht="15.7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</row>
    <row r="317" customFormat="false" ht="15.7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</row>
    <row r="318" customFormat="false" ht="15.7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</row>
    <row r="319" customFormat="false" ht="15.7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</row>
    <row r="320" customFormat="false" ht="15.7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</row>
    <row r="321" customFormat="false" ht="15.7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</row>
    <row r="322" customFormat="false" ht="15.7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</row>
    <row r="323" customFormat="false" ht="15.7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</row>
    <row r="324" customFormat="false" ht="15.7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</row>
    <row r="325" customFormat="false" ht="15.7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</row>
    <row r="326" customFormat="false" ht="15.7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</row>
    <row r="327" customFormat="false" ht="15.7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</row>
    <row r="328" customFormat="false" ht="15.7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</row>
    <row r="329" customFormat="false" ht="15.7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</row>
    <row r="330" customFormat="false" ht="15.7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</row>
    <row r="331" customFormat="false" ht="15.7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</row>
    <row r="332" customFormat="false" ht="15.7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</row>
    <row r="333" customFormat="false" ht="15.7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</row>
    <row r="334" customFormat="false" ht="15.7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</row>
    <row r="335" customFormat="false" ht="15.7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</row>
    <row r="336" customFormat="false" ht="15.7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</row>
    <row r="337" customFormat="false" ht="15.7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</row>
    <row r="338" customFormat="false" ht="15.7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</row>
    <row r="339" customFormat="false" ht="15.7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</row>
    <row r="340" customFormat="false" ht="15.7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</row>
    <row r="341" customFormat="false" ht="15.7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</row>
    <row r="342" customFormat="false" ht="15.7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</row>
    <row r="343" customFormat="false" ht="15.7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</row>
    <row r="344" customFormat="false" ht="15.7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</row>
    <row r="345" customFormat="false" ht="15.7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</row>
    <row r="346" customFormat="false" ht="15.7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</row>
    <row r="347" customFormat="false" ht="15.7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</row>
    <row r="348" customFormat="false" ht="15.7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</row>
    <row r="349" customFormat="false" ht="15.7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</row>
    <row r="350" customFormat="false" ht="15.7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</row>
    <row r="351" customFormat="false" ht="15.7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</row>
    <row r="352" customFormat="false" ht="15.7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</row>
    <row r="353" customFormat="false" ht="15.7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</row>
    <row r="354" customFormat="false" ht="15.7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</row>
    <row r="355" customFormat="false" ht="15.7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</row>
    <row r="356" customFormat="false" ht="15.7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</row>
    <row r="357" customFormat="false" ht="15.7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</row>
    <row r="358" customFormat="false" ht="15.7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</row>
    <row r="359" customFormat="false" ht="15.7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</row>
    <row r="360" customFormat="false" ht="15.7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</row>
    <row r="361" customFormat="false" ht="15.7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</row>
    <row r="362" customFormat="false" ht="15.7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</row>
    <row r="363" customFormat="false" ht="15.7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</row>
    <row r="364" customFormat="false" ht="15.7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</row>
    <row r="365" customFormat="false" ht="15.7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</row>
    <row r="366" customFormat="false" ht="15.7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</row>
    <row r="367" customFormat="false" ht="15.7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</row>
    <row r="368" customFormat="false" ht="15.7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</row>
    <row r="369" customFormat="false" ht="15.7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</row>
    <row r="370" customFormat="false" ht="15.7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</row>
    <row r="371" customFormat="false" ht="15.7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</row>
    <row r="372" customFormat="false" ht="15.7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</row>
    <row r="373" customFormat="false" ht="15.7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</row>
    <row r="374" customFormat="false" ht="15.7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</row>
    <row r="375" customFormat="false" ht="15.7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</row>
    <row r="376" customFormat="false" ht="15.7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</row>
    <row r="377" customFormat="false" ht="15.7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</row>
    <row r="378" customFormat="false" ht="15.7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</row>
    <row r="379" customFormat="false" ht="15.7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</row>
    <row r="380" customFormat="false" ht="15.7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</row>
    <row r="381" customFormat="false" ht="15.7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</row>
    <row r="382" customFormat="false" ht="15.7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</row>
    <row r="383" customFormat="false" ht="15.7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</row>
    <row r="384" customFormat="false" ht="15.7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</row>
    <row r="385" customFormat="false" ht="15.7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</row>
    <row r="386" customFormat="false" ht="15.7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</row>
    <row r="387" customFormat="false" ht="15.7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</row>
    <row r="388" customFormat="false" ht="15.7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</row>
    <row r="389" customFormat="false" ht="15.7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</row>
    <row r="390" customFormat="false" ht="15.7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</row>
    <row r="391" customFormat="false" ht="15.7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</row>
    <row r="392" customFormat="false" ht="15.7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</row>
    <row r="393" customFormat="false" ht="15.7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</row>
    <row r="394" customFormat="false" ht="15.7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</row>
    <row r="395" customFormat="false" ht="15.7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</row>
    <row r="396" customFormat="false" ht="15.7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</row>
    <row r="397" customFormat="false" ht="15.7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</row>
    <row r="398" customFormat="false" ht="15.7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</row>
    <row r="399" customFormat="false" ht="15.7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</row>
    <row r="400" customFormat="false" ht="15.7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</row>
    <row r="401" customFormat="false" ht="15.7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</row>
    <row r="402" customFormat="false" ht="15.7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</row>
    <row r="403" customFormat="false" ht="15.7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</row>
    <row r="404" customFormat="false" ht="15.7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</row>
    <row r="405" customFormat="false" ht="15.7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</row>
    <row r="406" customFormat="false" ht="15.7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</row>
    <row r="407" customFormat="false" ht="15.7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</row>
    <row r="408" customFormat="false" ht="15.7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</row>
    <row r="409" customFormat="false" ht="15.7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</row>
    <row r="410" customFormat="false" ht="15.7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</row>
    <row r="411" customFormat="false" ht="15.7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</row>
    <row r="412" customFormat="false" ht="15.7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</row>
    <row r="413" customFormat="false" ht="15.7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</row>
    <row r="414" customFormat="false" ht="15.7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</row>
    <row r="415" customFormat="false" ht="15.7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</row>
    <row r="416" customFormat="false" ht="15.7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</row>
    <row r="417" customFormat="false" ht="15.7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</row>
    <row r="418" customFormat="false" ht="15.7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</row>
    <row r="419" customFormat="false" ht="15.7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</row>
    <row r="420" customFormat="false" ht="15.7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</row>
    <row r="421" customFormat="false" ht="15.7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</row>
    <row r="422" customFormat="false" ht="15.7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</row>
    <row r="423" customFormat="false" ht="15.7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</row>
    <row r="424" customFormat="false" ht="15.7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</row>
    <row r="425" customFormat="false" ht="15.7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</row>
    <row r="426" customFormat="false" ht="15.7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</row>
    <row r="427" customFormat="false" ht="15.7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</row>
    <row r="428" customFormat="false" ht="15.7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</row>
    <row r="429" customFormat="false" ht="15.7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</row>
    <row r="430" customFormat="false" ht="15.7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</row>
    <row r="431" customFormat="false" ht="15.7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</row>
    <row r="432" customFormat="false" ht="15.7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</row>
    <row r="433" customFormat="false" ht="15.7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</row>
    <row r="434" customFormat="false" ht="15.7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</row>
    <row r="435" customFormat="false" ht="15.7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</row>
    <row r="436" customFormat="false" ht="15.7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</row>
    <row r="437" customFormat="false" ht="15.7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</row>
    <row r="438" customFormat="false" ht="15.7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</row>
    <row r="439" customFormat="false" ht="15.7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</row>
    <row r="440" customFormat="false" ht="15.7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</row>
    <row r="441" customFormat="false" ht="15.7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</row>
    <row r="442" customFormat="false" ht="15.7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</row>
    <row r="443" customFormat="false" ht="15.7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</row>
    <row r="444" customFormat="false" ht="15.7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</row>
    <row r="445" customFormat="false" ht="15.7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</row>
    <row r="446" customFormat="false" ht="15.7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</row>
    <row r="447" customFormat="false" ht="15.7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</row>
    <row r="448" customFormat="false" ht="15.7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</row>
    <row r="449" customFormat="false" ht="15.7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</row>
    <row r="450" customFormat="false" ht="15.7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</row>
    <row r="451" customFormat="false" ht="15.7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</row>
    <row r="452" customFormat="false" ht="15.7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</row>
    <row r="453" customFormat="false" ht="15.7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</row>
    <row r="454" customFormat="false" ht="15.7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</row>
    <row r="455" customFormat="false" ht="15.7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</row>
    <row r="456" customFormat="false" ht="15.7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</row>
    <row r="457" customFormat="false" ht="15.7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</row>
    <row r="458" customFormat="false" ht="15.7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</row>
    <row r="459" customFormat="false" ht="15.7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</row>
    <row r="460" customFormat="false" ht="15.7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</row>
    <row r="461" customFormat="false" ht="15.7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</row>
    <row r="462" customFormat="false" ht="15.7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</row>
    <row r="463" customFormat="false" ht="15.7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</row>
    <row r="464" customFormat="false" ht="15.7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</row>
    <row r="465" customFormat="false" ht="15.7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</row>
    <row r="466" customFormat="false" ht="15.7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</row>
    <row r="467" customFormat="false" ht="15.7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</row>
    <row r="468" customFormat="false" ht="15.7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</row>
    <row r="469" customFormat="false" ht="15.7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</row>
    <row r="470" customFormat="false" ht="15.7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</row>
    <row r="471" customFormat="false" ht="15.7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</row>
    <row r="472" customFormat="false" ht="15.7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</row>
    <row r="473" customFormat="false" ht="15.7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</row>
    <row r="474" customFormat="false" ht="15.7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</row>
    <row r="475" customFormat="false" ht="15.7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</row>
    <row r="476" customFormat="false" ht="15.7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</row>
    <row r="477" customFormat="false" ht="15.7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</row>
    <row r="478" customFormat="false" ht="15.7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</row>
    <row r="479" customFormat="false" ht="15.7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</row>
    <row r="480" customFormat="false" ht="15.7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</row>
    <row r="481" customFormat="false" ht="15.7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</row>
    <row r="482" customFormat="false" ht="15.7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</row>
    <row r="483" customFormat="false" ht="15.7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</row>
    <row r="484" customFormat="false" ht="15.7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</row>
    <row r="485" customFormat="false" ht="15.7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</row>
    <row r="486" customFormat="false" ht="15.7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</row>
    <row r="487" customFormat="false" ht="15.7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</row>
    <row r="488" customFormat="false" ht="15.7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</row>
    <row r="489" customFormat="false" ht="15.7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</row>
    <row r="490" customFormat="false" ht="15.7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</row>
    <row r="491" customFormat="false" ht="15.7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</row>
    <row r="492" customFormat="false" ht="15.7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</row>
    <row r="493" customFormat="false" ht="15.7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</row>
    <row r="494" customFormat="false" ht="15.7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</row>
    <row r="495" customFormat="false" ht="15.7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</row>
    <row r="496" customFormat="false" ht="15.7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</row>
    <row r="497" customFormat="false" ht="15.7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</row>
    <row r="498" customFormat="false" ht="15.7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</row>
    <row r="499" customFormat="false" ht="15.7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</row>
    <row r="500" customFormat="false" ht="15.7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</row>
    <row r="501" customFormat="false" ht="15.7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</row>
    <row r="502" customFormat="false" ht="15.7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</row>
    <row r="503" customFormat="false" ht="15.7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</row>
    <row r="504" customFormat="false" ht="15.7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</row>
    <row r="505" customFormat="false" ht="15.7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</row>
    <row r="506" customFormat="false" ht="15.7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</row>
    <row r="507" customFormat="false" ht="15.7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</row>
    <row r="508" customFormat="false" ht="15.7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</row>
    <row r="509" customFormat="false" ht="15.7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</row>
    <row r="510" customFormat="false" ht="15.7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</row>
    <row r="511" customFormat="false" ht="15.7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</row>
    <row r="512" customFormat="false" ht="15.7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</row>
    <row r="513" customFormat="false" ht="15.7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</row>
    <row r="514" customFormat="false" ht="15.7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</row>
    <row r="515" customFormat="false" ht="15.7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</row>
    <row r="516" customFormat="false" ht="15.7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</row>
    <row r="517" customFormat="false" ht="15.7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</row>
    <row r="518" customFormat="false" ht="15.7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</row>
    <row r="519" customFormat="false" ht="15.7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</row>
    <row r="520" customFormat="false" ht="15.7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</row>
    <row r="521" customFormat="false" ht="15.7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</row>
    <row r="522" customFormat="false" ht="15.7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</row>
    <row r="523" customFormat="false" ht="15.7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</row>
    <row r="524" customFormat="false" ht="15.7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</row>
    <row r="525" customFormat="false" ht="15.7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</row>
    <row r="526" customFormat="false" ht="15.7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</row>
    <row r="527" customFormat="false" ht="15.7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</row>
    <row r="528" customFormat="false" ht="15.7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</row>
    <row r="529" customFormat="false" ht="15.7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</row>
    <row r="530" customFormat="false" ht="15.7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</row>
    <row r="531" customFormat="false" ht="15.7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</row>
    <row r="532" customFormat="false" ht="15.7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</row>
    <row r="533" customFormat="false" ht="15.7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</row>
    <row r="534" customFormat="false" ht="15.7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</row>
    <row r="535" customFormat="false" ht="15.7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</row>
    <row r="536" customFormat="false" ht="15.7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</row>
    <row r="537" customFormat="false" ht="15.7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</row>
    <row r="538" customFormat="false" ht="15.7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</row>
    <row r="539" customFormat="false" ht="15.7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</row>
    <row r="540" customFormat="false" ht="15.7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</row>
    <row r="541" customFormat="false" ht="15.7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</row>
    <row r="542" customFormat="false" ht="15.7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</row>
    <row r="543" customFormat="false" ht="15.7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</row>
    <row r="544" customFormat="false" ht="15.7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</row>
    <row r="545" customFormat="false" ht="15.7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</row>
    <row r="546" customFormat="false" ht="15.7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</row>
    <row r="547" customFormat="false" ht="15.7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</row>
    <row r="548" customFormat="false" ht="15.7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</row>
    <row r="549" customFormat="false" ht="15.7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</row>
    <row r="550" customFormat="false" ht="15.7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</row>
    <row r="551" customFormat="false" ht="15.7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</row>
    <row r="552" customFormat="false" ht="15.7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</row>
    <row r="553" customFormat="false" ht="15.7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</row>
    <row r="554" customFormat="false" ht="15.7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</row>
    <row r="555" customFormat="false" ht="15.7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</row>
    <row r="556" customFormat="false" ht="15.7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</row>
    <row r="557" customFormat="false" ht="15.7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</row>
    <row r="558" customFormat="false" ht="15.7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</row>
    <row r="559" customFormat="false" ht="15.7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</row>
    <row r="560" customFormat="false" ht="15.7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</row>
    <row r="561" customFormat="false" ht="15.7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</row>
    <row r="562" customFormat="false" ht="15.7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</row>
    <row r="563" customFormat="false" ht="15.7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</row>
    <row r="564" customFormat="false" ht="15.7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</row>
    <row r="565" customFormat="false" ht="15.7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</row>
    <row r="566" customFormat="false" ht="15.7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</row>
    <row r="567" customFormat="false" ht="15.7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</row>
    <row r="568" customFormat="false" ht="15.7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</row>
    <row r="569" customFormat="false" ht="15.7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</row>
    <row r="570" customFormat="false" ht="15.7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</row>
    <row r="571" customFormat="false" ht="15.7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</row>
    <row r="572" customFormat="false" ht="15.7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</row>
    <row r="573" customFormat="false" ht="15.7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</row>
    <row r="574" customFormat="false" ht="15.7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</row>
    <row r="575" customFormat="false" ht="15.7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</row>
    <row r="576" customFormat="false" ht="15.7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</row>
    <row r="577" customFormat="false" ht="15.7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</row>
    <row r="578" customFormat="false" ht="15.7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</row>
    <row r="579" customFormat="false" ht="15.7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</row>
    <row r="580" customFormat="false" ht="15.7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</row>
    <row r="581" customFormat="false" ht="15.7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</row>
    <row r="582" customFormat="false" ht="15.7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</row>
    <row r="583" customFormat="false" ht="15.7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</row>
    <row r="584" customFormat="false" ht="15.7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</row>
    <row r="585" customFormat="false" ht="15.7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</row>
    <row r="586" customFormat="false" ht="15.7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</row>
    <row r="587" customFormat="false" ht="15.7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</row>
    <row r="588" customFormat="false" ht="15.7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</row>
    <row r="589" customFormat="false" ht="15.7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</row>
    <row r="590" customFormat="false" ht="15.7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</row>
    <row r="591" customFormat="false" ht="15.7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</row>
    <row r="592" customFormat="false" ht="15.7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</row>
    <row r="593" customFormat="false" ht="15.7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</row>
    <row r="594" customFormat="false" ht="15.7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</row>
    <row r="595" customFormat="false" ht="15.7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</row>
    <row r="596" customFormat="false" ht="15.7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</row>
    <row r="597" customFormat="false" ht="15.7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</row>
    <row r="598" customFormat="false" ht="15.7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</row>
    <row r="599" customFormat="false" ht="15.7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</row>
    <row r="600" customFormat="false" ht="15.7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</row>
    <row r="601" customFormat="false" ht="15.7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</row>
    <row r="602" customFormat="false" ht="15.7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</row>
    <row r="603" customFormat="false" ht="15.7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</row>
    <row r="604" customFormat="false" ht="15.7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</row>
    <row r="605" customFormat="false" ht="15.7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</row>
    <row r="606" customFormat="false" ht="15.7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</row>
    <row r="607" customFormat="false" ht="15.7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</row>
    <row r="608" customFormat="false" ht="15.7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</row>
    <row r="609" customFormat="false" ht="15.7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</row>
    <row r="610" customFormat="false" ht="15.7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</row>
    <row r="611" customFormat="false" ht="15.7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</row>
    <row r="612" customFormat="false" ht="15.7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</row>
    <row r="613" customFormat="false" ht="15.7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</row>
    <row r="614" customFormat="false" ht="15.7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</row>
    <row r="615" customFormat="false" ht="15.7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</row>
    <row r="616" customFormat="false" ht="15.7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</row>
    <row r="617" customFormat="false" ht="15.7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</row>
    <row r="618" customFormat="false" ht="15.7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</row>
    <row r="619" customFormat="false" ht="15.7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</row>
    <row r="620" customFormat="false" ht="15.7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</row>
    <row r="621" customFormat="false" ht="15.7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</row>
    <row r="622" customFormat="false" ht="15.7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</row>
    <row r="623" customFormat="false" ht="15.7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</row>
    <row r="624" customFormat="false" ht="15.7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</row>
    <row r="625" customFormat="false" ht="15.7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</row>
    <row r="626" customFormat="false" ht="15.7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</row>
    <row r="627" customFormat="false" ht="15.7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</row>
    <row r="628" customFormat="false" ht="15.7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</row>
    <row r="629" customFormat="false" ht="15.7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</row>
    <row r="630" customFormat="false" ht="15.7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</row>
    <row r="631" customFormat="false" ht="15.7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</row>
    <row r="632" customFormat="false" ht="15.7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</row>
    <row r="633" customFormat="false" ht="15.7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</row>
    <row r="634" customFormat="false" ht="15.7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</row>
    <row r="635" customFormat="false" ht="15.7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</row>
    <row r="636" customFormat="false" ht="15.7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</row>
    <row r="637" customFormat="false" ht="15.7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</row>
    <row r="638" customFormat="false" ht="15.7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</row>
    <row r="639" customFormat="false" ht="15.7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</row>
    <row r="640" customFormat="false" ht="15.7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</row>
    <row r="641" customFormat="false" ht="15.7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</row>
    <row r="642" customFormat="false" ht="15.7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</row>
    <row r="643" customFormat="false" ht="15.7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</row>
    <row r="644" customFormat="false" ht="15.7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</row>
    <row r="645" customFormat="false" ht="15.7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</row>
    <row r="646" customFormat="false" ht="15.7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</row>
    <row r="647" customFormat="false" ht="15.7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</row>
    <row r="648" customFormat="false" ht="15.7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</row>
    <row r="649" customFormat="false" ht="15.7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</row>
    <row r="650" customFormat="false" ht="15.7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</row>
    <row r="651" customFormat="false" ht="15.7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</row>
    <row r="652" customFormat="false" ht="15.7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</row>
    <row r="653" customFormat="false" ht="15.7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</row>
    <row r="654" customFormat="false" ht="15.7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</row>
    <row r="655" customFormat="false" ht="15.7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</row>
    <row r="656" customFormat="false" ht="15.7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</row>
    <row r="657" customFormat="false" ht="15.7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</row>
    <row r="658" customFormat="false" ht="15.7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</row>
    <row r="659" customFormat="false" ht="15.7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</row>
    <row r="660" customFormat="false" ht="15.7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</row>
    <row r="661" customFormat="false" ht="15.7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</row>
    <row r="662" customFormat="false" ht="15.7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</row>
    <row r="663" customFormat="false" ht="15.7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</row>
    <row r="664" customFormat="false" ht="15.7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</row>
    <row r="665" customFormat="false" ht="15.7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</row>
    <row r="666" customFormat="false" ht="15.7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</row>
    <row r="667" customFormat="false" ht="15.7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</row>
    <row r="668" customFormat="false" ht="15.7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</row>
    <row r="669" customFormat="false" ht="15.7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</row>
    <row r="670" customFormat="false" ht="15.7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</row>
    <row r="671" customFormat="false" ht="15.7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</row>
    <row r="672" customFormat="false" ht="15.7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</row>
    <row r="673" customFormat="false" ht="15.7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</row>
    <row r="674" customFormat="false" ht="15.7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</row>
    <row r="675" customFormat="false" ht="15.7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</row>
    <row r="676" customFormat="false" ht="15.7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</row>
    <row r="677" customFormat="false" ht="15.7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</row>
    <row r="678" customFormat="false" ht="15.7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</row>
    <row r="679" customFormat="false" ht="15.7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</row>
    <row r="680" customFormat="false" ht="15.7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</row>
    <row r="681" customFormat="false" ht="15.7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</row>
    <row r="682" customFormat="false" ht="15.7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</row>
    <row r="683" customFormat="false" ht="15.7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</row>
    <row r="684" customFormat="false" ht="15.7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</row>
    <row r="685" customFormat="false" ht="15.7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</row>
    <row r="686" customFormat="false" ht="15.7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</row>
    <row r="687" customFormat="false" ht="15.7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</row>
    <row r="688" customFormat="false" ht="15.7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</row>
    <row r="689" customFormat="false" ht="15.7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</row>
    <row r="690" customFormat="false" ht="15.7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</row>
    <row r="691" customFormat="false" ht="15.7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</row>
    <row r="692" customFormat="false" ht="15.7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</row>
    <row r="693" customFormat="false" ht="15.7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</row>
    <row r="694" customFormat="false" ht="15.7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</row>
    <row r="695" customFormat="false" ht="15.7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</row>
    <row r="696" customFormat="false" ht="15.7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</row>
    <row r="697" customFormat="false" ht="15.7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</row>
    <row r="698" customFormat="false" ht="15.7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</row>
    <row r="699" customFormat="false" ht="15.7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</row>
    <row r="700" customFormat="false" ht="15.7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</row>
    <row r="701" customFormat="false" ht="15.7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</row>
    <row r="702" customFormat="false" ht="15.7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</row>
    <row r="703" customFormat="false" ht="15.7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</row>
    <row r="704" customFormat="false" ht="15.7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</row>
    <row r="705" customFormat="false" ht="15.7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</row>
    <row r="706" customFormat="false" ht="15.7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</row>
    <row r="707" customFormat="false" ht="15.7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</row>
    <row r="708" customFormat="false" ht="15.7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</row>
    <row r="709" customFormat="false" ht="15.7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</row>
    <row r="710" customFormat="false" ht="15.7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</row>
    <row r="711" customFormat="false" ht="15.7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</row>
    <row r="712" customFormat="false" ht="15.7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</row>
    <row r="713" customFormat="false" ht="15.7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</row>
    <row r="714" customFormat="false" ht="15.7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</row>
    <row r="715" customFormat="false" ht="15.7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</row>
    <row r="716" customFormat="false" ht="15.7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</row>
    <row r="717" customFormat="false" ht="15.7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</row>
    <row r="718" customFormat="false" ht="15.7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</row>
    <row r="719" customFormat="false" ht="15.7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</row>
    <row r="720" customFormat="false" ht="15.7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</row>
    <row r="721" customFormat="false" ht="15.7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</row>
    <row r="722" customFormat="false" ht="15.7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</row>
    <row r="723" customFormat="false" ht="15.7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</row>
    <row r="724" customFormat="false" ht="15.7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</row>
    <row r="725" customFormat="false" ht="15.7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</row>
    <row r="726" customFormat="false" ht="15.7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</row>
    <row r="727" customFormat="false" ht="15.7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</row>
    <row r="728" customFormat="false" ht="15.7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</row>
    <row r="729" customFormat="false" ht="15.7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</row>
    <row r="730" customFormat="false" ht="15.7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</row>
    <row r="731" customFormat="false" ht="15.7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</row>
    <row r="732" customFormat="false" ht="15.7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</row>
    <row r="733" customFormat="false" ht="15.7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</row>
    <row r="734" customFormat="false" ht="15.7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</row>
    <row r="735" customFormat="false" ht="15.7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</row>
    <row r="736" customFormat="false" ht="15.7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</row>
    <row r="737" customFormat="false" ht="15.7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</row>
    <row r="738" customFormat="false" ht="15.7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</row>
    <row r="739" customFormat="false" ht="15.7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</row>
    <row r="740" customFormat="false" ht="15.7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</row>
    <row r="741" customFormat="false" ht="15.7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</row>
    <row r="742" customFormat="false" ht="15.7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</row>
    <row r="743" customFormat="false" ht="15.7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</row>
    <row r="744" customFormat="false" ht="15.7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</row>
    <row r="745" customFormat="false" ht="15.7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</row>
    <row r="746" customFormat="false" ht="15.7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</row>
    <row r="747" customFormat="false" ht="15.7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</row>
    <row r="748" customFormat="false" ht="15.7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</row>
    <row r="749" customFormat="false" ht="15.7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</row>
    <row r="750" customFormat="false" ht="15.7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</row>
    <row r="751" customFormat="false" ht="15.7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</row>
    <row r="752" customFormat="false" ht="15.7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</row>
    <row r="753" customFormat="false" ht="15.7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</row>
    <row r="754" customFormat="false" ht="15.7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</row>
    <row r="755" customFormat="false" ht="15.7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</row>
    <row r="756" customFormat="false" ht="15.7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</row>
    <row r="757" customFormat="false" ht="15.7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</row>
    <row r="758" customFormat="false" ht="15.7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</row>
    <row r="759" customFormat="false" ht="15.7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</row>
    <row r="760" customFormat="false" ht="15.7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</row>
    <row r="761" customFormat="false" ht="15.7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</row>
    <row r="762" customFormat="false" ht="15.7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</row>
    <row r="763" customFormat="false" ht="15.7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</row>
    <row r="764" customFormat="false" ht="15.7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</row>
    <row r="765" customFormat="false" ht="15.7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</row>
    <row r="766" customFormat="false" ht="15.7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</row>
    <row r="767" customFormat="false" ht="15.7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</row>
    <row r="768" customFormat="false" ht="15.7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</row>
    <row r="769" customFormat="false" ht="15.7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</row>
    <row r="770" customFormat="false" ht="15.7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</row>
    <row r="771" customFormat="false" ht="15.7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</row>
    <row r="772" customFormat="false" ht="15.7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</row>
    <row r="773" customFormat="false" ht="15.7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</row>
    <row r="774" customFormat="false" ht="15.7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</row>
    <row r="775" customFormat="false" ht="15.7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</row>
    <row r="776" customFormat="false" ht="15.7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</row>
    <row r="777" customFormat="false" ht="15.7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</row>
    <row r="778" customFormat="false" ht="15.7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</row>
    <row r="779" customFormat="false" ht="15.7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</row>
    <row r="780" customFormat="false" ht="15.7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</row>
    <row r="781" customFormat="false" ht="15.7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</row>
    <row r="782" customFormat="false" ht="15.7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</row>
    <row r="783" customFormat="false" ht="15.7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</row>
    <row r="784" customFormat="false" ht="15.7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</row>
    <row r="785" customFormat="false" ht="15.7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</row>
    <row r="786" customFormat="false" ht="15.7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</row>
    <row r="787" customFormat="false" ht="15.7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</row>
    <row r="788" customFormat="false" ht="15.7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</row>
    <row r="789" customFormat="false" ht="15.7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</row>
    <row r="790" customFormat="false" ht="15.7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</row>
    <row r="791" customFormat="false" ht="15.7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</row>
    <row r="792" customFormat="false" ht="15.7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</row>
    <row r="793" customFormat="false" ht="15.7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</row>
    <row r="794" customFormat="false" ht="15.7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</row>
    <row r="795" customFormat="false" ht="15.7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</row>
    <row r="796" customFormat="false" ht="15.7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</row>
    <row r="797" customFormat="false" ht="15.7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</row>
    <row r="798" customFormat="false" ht="15.7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</row>
    <row r="799" customFormat="false" ht="15.7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</row>
    <row r="800" customFormat="false" ht="15.7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</row>
    <row r="801" customFormat="false" ht="15.7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</row>
    <row r="802" customFormat="false" ht="15.7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</row>
    <row r="803" customFormat="false" ht="15.7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</row>
    <row r="804" customFormat="false" ht="15.7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</row>
    <row r="805" customFormat="false" ht="15.7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</row>
    <row r="806" customFormat="false" ht="15.7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</row>
    <row r="807" customFormat="false" ht="15.7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</row>
    <row r="808" customFormat="false" ht="15.7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</row>
    <row r="809" customFormat="false" ht="15.7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</row>
    <row r="810" customFormat="false" ht="15.7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</row>
    <row r="811" customFormat="false" ht="15.7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</row>
    <row r="812" customFormat="false" ht="15.7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</row>
    <row r="813" customFormat="false" ht="15.7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</row>
    <row r="814" customFormat="false" ht="15.7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</row>
    <row r="815" customFormat="false" ht="15.7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</row>
    <row r="816" customFormat="false" ht="15.7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</row>
    <row r="817" customFormat="false" ht="15.7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</row>
    <row r="818" customFormat="false" ht="15.7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</row>
    <row r="819" customFormat="false" ht="15.7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</row>
    <row r="820" customFormat="false" ht="15.7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</row>
    <row r="821" customFormat="false" ht="15.7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</row>
    <row r="822" customFormat="false" ht="15.7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</row>
    <row r="823" customFormat="false" ht="15.7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</row>
    <row r="824" customFormat="false" ht="15.7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</row>
    <row r="825" customFormat="false" ht="15.7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</row>
    <row r="826" customFormat="false" ht="15.7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</row>
    <row r="827" customFormat="false" ht="15.7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</row>
    <row r="828" customFormat="false" ht="15.7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</row>
    <row r="829" customFormat="false" ht="15.7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</row>
    <row r="830" customFormat="false" ht="15.7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</row>
    <row r="831" customFormat="false" ht="15.7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</row>
    <row r="832" customFormat="false" ht="15.7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</row>
    <row r="833" customFormat="false" ht="15.7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</row>
    <row r="834" customFormat="false" ht="15.7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</row>
    <row r="835" customFormat="false" ht="15.7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</row>
    <row r="836" customFormat="false" ht="15.7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</row>
    <row r="837" customFormat="false" ht="15.7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</row>
    <row r="838" customFormat="false" ht="15.7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</row>
    <row r="839" customFormat="false" ht="15.7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</row>
    <row r="840" customFormat="false" ht="15.7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</row>
    <row r="841" customFormat="false" ht="15.7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</row>
    <row r="842" customFormat="false" ht="15.7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</row>
    <row r="843" customFormat="false" ht="15.7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</row>
    <row r="844" customFormat="false" ht="15.7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</row>
    <row r="845" customFormat="false" ht="15.7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</row>
    <row r="846" customFormat="false" ht="15.7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</row>
    <row r="847" customFormat="false" ht="15.7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</row>
    <row r="848" customFormat="false" ht="15.7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</row>
    <row r="849" customFormat="false" ht="15.7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</row>
    <row r="850" customFormat="false" ht="15.7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</row>
    <row r="851" customFormat="false" ht="15.7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</row>
    <row r="852" customFormat="false" ht="15.7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</row>
    <row r="853" customFormat="false" ht="15.7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</row>
    <row r="854" customFormat="false" ht="15.7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</row>
    <row r="855" customFormat="false" ht="15.7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</row>
    <row r="856" customFormat="false" ht="15.7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</row>
    <row r="857" customFormat="false" ht="15.7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</row>
    <row r="858" customFormat="false" ht="15.7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</row>
    <row r="859" customFormat="false" ht="15.7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</row>
    <row r="860" customFormat="false" ht="15.7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</row>
    <row r="861" customFormat="false" ht="15.7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</row>
    <row r="862" customFormat="false" ht="15.7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</row>
    <row r="863" customFormat="false" ht="15.7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</row>
    <row r="864" customFormat="false" ht="15.7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</row>
    <row r="865" customFormat="false" ht="15.7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</row>
    <row r="866" customFormat="false" ht="15.7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</row>
    <row r="867" customFormat="false" ht="15.7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</row>
    <row r="868" customFormat="false" ht="15.7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</row>
    <row r="869" customFormat="false" ht="15.7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</row>
    <row r="870" customFormat="false" ht="15.7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</row>
    <row r="871" customFormat="false" ht="15.7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</row>
    <row r="872" customFormat="false" ht="15.7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</row>
    <row r="873" customFormat="false" ht="15.7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</row>
    <row r="874" customFormat="false" ht="15.7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</row>
    <row r="875" customFormat="false" ht="15.7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</row>
    <row r="876" customFormat="false" ht="15.7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</row>
    <row r="877" customFormat="false" ht="15.7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</row>
    <row r="878" customFormat="false" ht="15.7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</row>
    <row r="879" customFormat="false" ht="15.7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</row>
    <row r="880" customFormat="false" ht="15.7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</row>
    <row r="881" customFormat="false" ht="15.7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</row>
    <row r="882" customFormat="false" ht="15.7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</row>
    <row r="883" customFormat="false" ht="15.7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</row>
    <row r="884" customFormat="false" ht="15.7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</row>
    <row r="885" customFormat="false" ht="15.7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</row>
    <row r="886" customFormat="false" ht="15.7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</row>
    <row r="887" customFormat="false" ht="15.7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</row>
    <row r="888" customFormat="false" ht="15.7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</row>
    <row r="889" customFormat="false" ht="15.7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</row>
    <row r="890" customFormat="false" ht="15.7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</row>
    <row r="891" customFormat="false" ht="15.7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</row>
    <row r="892" customFormat="false" ht="15.7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</row>
    <row r="893" customFormat="false" ht="15.7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</row>
    <row r="894" customFormat="false" ht="15.7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</row>
    <row r="895" customFormat="false" ht="15.7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</row>
    <row r="896" customFormat="false" ht="15.7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</row>
    <row r="897" customFormat="false" ht="15.7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</row>
    <row r="898" customFormat="false" ht="15.7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</row>
    <row r="899" customFormat="false" ht="15.7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</row>
    <row r="900" customFormat="false" ht="15.7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</row>
    <row r="901" customFormat="false" ht="15.7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</row>
    <row r="902" customFormat="false" ht="15.7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</row>
    <row r="903" customFormat="false" ht="15.7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</row>
    <row r="904" customFormat="false" ht="15.7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</row>
    <row r="905" customFormat="false" ht="15.7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</row>
    <row r="906" customFormat="false" ht="15.7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</row>
    <row r="907" customFormat="false" ht="15.7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</row>
    <row r="908" customFormat="false" ht="15.7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</row>
    <row r="909" customFormat="false" ht="15.7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</row>
    <row r="910" customFormat="false" ht="15.7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</row>
    <row r="911" customFormat="false" ht="15.7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</row>
    <row r="912" customFormat="false" ht="15.7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</row>
    <row r="913" customFormat="false" ht="15.7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</row>
    <row r="914" customFormat="false" ht="15.7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</row>
    <row r="915" customFormat="false" ht="15.7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</row>
    <row r="916" customFormat="false" ht="15.7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</row>
    <row r="917" customFormat="false" ht="15.7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</row>
    <row r="918" customFormat="false" ht="15.7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</row>
    <row r="919" customFormat="false" ht="15.7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</row>
    <row r="920" customFormat="false" ht="15.7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</row>
    <row r="921" customFormat="false" ht="15.7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</row>
    <row r="922" customFormat="false" ht="15.7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</row>
    <row r="923" customFormat="false" ht="15.7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</row>
    <row r="924" customFormat="false" ht="15.7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</row>
    <row r="925" customFormat="false" ht="15.7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</row>
    <row r="926" customFormat="false" ht="15.7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</row>
    <row r="927" customFormat="false" ht="15.7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</row>
    <row r="928" customFormat="false" ht="15.7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</row>
    <row r="929" customFormat="false" ht="15.7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</row>
    <row r="930" customFormat="false" ht="15.7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</row>
    <row r="931" customFormat="false" ht="15.7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</row>
    <row r="932" customFormat="false" ht="15.7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</row>
    <row r="933" customFormat="false" ht="15.7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</row>
    <row r="934" customFormat="false" ht="15.7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</row>
    <row r="935" customFormat="false" ht="15.7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</row>
    <row r="936" customFormat="false" ht="15.7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</row>
    <row r="937" customFormat="false" ht="15.7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</row>
    <row r="938" customFormat="false" ht="15.7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</row>
    <row r="939" customFormat="false" ht="15.7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</row>
    <row r="940" customFormat="false" ht="15.7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</row>
    <row r="941" customFormat="false" ht="15.7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</row>
    <row r="942" customFormat="false" ht="15.7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</row>
    <row r="943" customFormat="false" ht="15.7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</row>
    <row r="944" customFormat="false" ht="15.7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</row>
    <row r="945" customFormat="false" ht="15.7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</row>
    <row r="946" customFormat="false" ht="15.7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</row>
    <row r="947" customFormat="false" ht="15.7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</row>
    <row r="948" customFormat="false" ht="15.7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</row>
    <row r="949" customFormat="false" ht="15.7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</row>
    <row r="950" customFormat="false" ht="15.7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</row>
    <row r="951" customFormat="false" ht="15.7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</row>
    <row r="952" customFormat="false" ht="15.7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</row>
    <row r="953" customFormat="false" ht="15.7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</row>
    <row r="954" customFormat="false" ht="15.7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</row>
    <row r="955" customFormat="false" ht="15.7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</row>
    <row r="956" customFormat="false" ht="15.7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</row>
    <row r="957" customFormat="false" ht="15.7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</row>
    <row r="958" customFormat="false" ht="15.7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</row>
    <row r="959" customFormat="false" ht="15.7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</row>
    <row r="960" customFormat="false" ht="15.7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</row>
    <row r="961" customFormat="false" ht="15.7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</row>
    <row r="962" customFormat="false" ht="15.7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</row>
    <row r="963" customFormat="false" ht="15.7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</row>
    <row r="964" customFormat="false" ht="15.7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</row>
    <row r="965" customFormat="false" ht="15.7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</row>
    <row r="966" customFormat="false" ht="15.7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</row>
    <row r="967" customFormat="false" ht="15.7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</row>
    <row r="968" customFormat="false" ht="15.7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</row>
    <row r="969" customFormat="false" ht="15.7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</row>
    <row r="970" customFormat="false" ht="15.7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</row>
    <row r="971" customFormat="false" ht="15.7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</row>
    <row r="972" customFormat="false" ht="15.7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</row>
    <row r="973" customFormat="false" ht="15.7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</row>
    <row r="974" customFormat="false" ht="15.7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</row>
    <row r="975" customFormat="false" ht="15.7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</row>
    <row r="976" customFormat="false" ht="15.7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</row>
    <row r="977" customFormat="false" ht="15.7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</row>
    <row r="978" customFormat="false" ht="15.7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</row>
    <row r="979" customFormat="false" ht="15.7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</row>
    <row r="980" customFormat="false" ht="15.7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</row>
    <row r="981" customFormat="false" ht="15.7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</row>
    <row r="982" customFormat="false" ht="15.7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</row>
    <row r="983" customFormat="false" ht="15.7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</row>
    <row r="984" customFormat="false" ht="15.7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</row>
    <row r="985" customFormat="false" ht="15.7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</row>
    <row r="986" customFormat="false" ht="15.7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</row>
    <row r="987" customFormat="false" ht="15.7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</row>
    <row r="988" customFormat="false" ht="15.7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</row>
    <row r="989" customFormat="false" ht="15.7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</row>
    <row r="990" customFormat="false" ht="15.7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</row>
    <row r="991" customFormat="false" ht="15.7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</row>
    <row r="992" customFormat="false" ht="15.7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</row>
    <row r="993" customFormat="false" ht="15.7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</row>
    <row r="994" customFormat="false" ht="15.7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</row>
    <row r="995" customFormat="false" ht="15.7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</row>
    <row r="996" customFormat="false" ht="15.7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</row>
    <row r="997" customFormat="false" ht="15.75" hidden="false" customHeight="true" outlineLevel="0" collapsed="false">
      <c r="A997" s="2"/>
      <c r="B997" s="2"/>
      <c r="C997" s="2"/>
      <c r="D997" s="2"/>
      <c r="E997" s="2"/>
      <c r="F997" s="2"/>
      <c r="G997" s="2"/>
      <c r="H997" s="2"/>
    </row>
    <row r="998" customFormat="false" ht="15.75" hidden="false" customHeight="true" outlineLevel="0" collapsed="false">
      <c r="A998" s="2"/>
      <c r="B998" s="2"/>
      <c r="C998" s="2"/>
      <c r="D998" s="2"/>
      <c r="E998" s="2"/>
      <c r="F998" s="2"/>
      <c r="G998" s="2"/>
      <c r="H998" s="2"/>
    </row>
    <row r="999" customFormat="false" ht="15.75" hidden="false" customHeight="true" outlineLevel="0" collapsed="false">
      <c r="A999" s="2"/>
      <c r="B999" s="2"/>
      <c r="C999" s="2"/>
      <c r="D999" s="2"/>
      <c r="E999" s="2"/>
      <c r="F999" s="2"/>
      <c r="G999" s="2"/>
      <c r="H999" s="2"/>
    </row>
    <row r="1000" customFormat="false" ht="15.75" hidden="false" customHeight="true" outlineLevel="0" collapsed="false">
      <c r="A1000" s="2"/>
      <c r="B1000" s="2"/>
      <c r="C1000" s="2"/>
      <c r="D1000" s="2"/>
      <c r="E1000" s="2"/>
      <c r="F1000" s="2"/>
      <c r="G1000" s="2"/>
      <c r="H1000" s="2"/>
    </row>
  </sheetData>
  <mergeCells count="22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1:G31"/>
    <mergeCell ref="B32:H32"/>
    <mergeCell ref="D34:H34"/>
    <mergeCell ref="B39:G39"/>
    <mergeCell ref="B40:G40"/>
    <mergeCell ref="B41:G41"/>
    <mergeCell ref="B43:G43"/>
    <mergeCell ref="B44:G44"/>
    <mergeCell ref="B45:G45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  <c r="G1" s="2"/>
      <c r="H1" s="2"/>
    </row>
    <row r="2" customFormat="false" ht="19.7" hidden="false" customHeight="false" outlineLevel="0" collapsed="false">
      <c r="A2" s="2"/>
      <c r="B2" s="3" t="s">
        <v>839</v>
      </c>
      <c r="C2" s="3"/>
      <c r="D2" s="3"/>
      <c r="E2" s="3"/>
      <c r="F2" s="3"/>
      <c r="G2" s="3"/>
      <c r="H2" s="3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true" outlineLevel="0" collapsed="false">
      <c r="A4" s="2"/>
      <c r="B4" s="4" t="s">
        <v>785</v>
      </c>
      <c r="C4" s="5" t="s">
        <v>824</v>
      </c>
      <c r="D4" s="5"/>
      <c r="E4" s="5"/>
      <c r="F4" s="5"/>
      <c r="G4" s="5"/>
      <c r="H4" s="5"/>
    </row>
    <row r="5" customFormat="false" ht="15" hidden="false" customHeight="true" outlineLevel="0" collapsed="false">
      <c r="A5" s="2"/>
      <c r="B5" s="4" t="s">
        <v>787</v>
      </c>
      <c r="C5" s="5" t="s">
        <v>840</v>
      </c>
      <c r="D5" s="5"/>
      <c r="E5" s="5"/>
      <c r="F5" s="5"/>
      <c r="G5" s="5"/>
      <c r="H5" s="5"/>
    </row>
    <row r="6" customFormat="false" ht="15" hidden="false" customHeight="true" outlineLevel="0" collapsed="false">
      <c r="A6" s="2"/>
      <c r="B6" s="4" t="s">
        <v>18</v>
      </c>
      <c r="C6" s="5" t="s">
        <v>841</v>
      </c>
      <c r="D6" s="5"/>
      <c r="E6" s="5"/>
      <c r="F6" s="5"/>
      <c r="G6" s="5"/>
      <c r="H6" s="5"/>
    </row>
    <row r="7" customFormat="false" ht="15" hidden="false" customHeight="true" outlineLevel="0" collapsed="false">
      <c r="A7" s="2"/>
      <c r="B7" s="4" t="s">
        <v>790</v>
      </c>
      <c r="C7" s="5" t="s">
        <v>827</v>
      </c>
      <c r="D7" s="5"/>
      <c r="E7" s="5"/>
      <c r="F7" s="5"/>
      <c r="G7" s="5"/>
      <c r="H7" s="5"/>
    </row>
    <row r="8" customFormat="false" ht="15" hidden="false" customHeight="false" outlineLevel="0" collapsed="false">
      <c r="A8" s="2"/>
      <c r="B8" s="4" t="s">
        <v>792</v>
      </c>
      <c r="C8" s="43" t="n">
        <f aca="false">RINGKASAN!$K$17</f>
        <v>20011142</v>
      </c>
      <c r="D8" s="43"/>
      <c r="E8" s="43"/>
      <c r="F8" s="43"/>
      <c r="G8" s="43"/>
      <c r="H8" s="43"/>
    </row>
    <row r="9" customFormat="false" ht="15" hidden="false" customHeight="true" outlineLevel="0" collapsed="false">
      <c r="A9" s="2"/>
      <c r="B9" s="4" t="s">
        <v>81</v>
      </c>
      <c r="C9" s="5" t="s">
        <v>793</v>
      </c>
      <c r="D9" s="5"/>
      <c r="E9" s="5"/>
      <c r="F9" s="5"/>
      <c r="G9" s="5"/>
      <c r="H9" s="5"/>
    </row>
    <row r="10" customFormat="false" ht="15" hidden="false" customHeight="true" outlineLevel="0" collapsed="false">
      <c r="A10" s="2"/>
      <c r="B10" s="4" t="s">
        <v>9</v>
      </c>
      <c r="C10" s="5" t="s">
        <v>10</v>
      </c>
      <c r="D10" s="5"/>
      <c r="E10" s="5"/>
      <c r="F10" s="5"/>
      <c r="G10" s="5"/>
      <c r="H10" s="5"/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</row>
    <row r="12" customFormat="false" ht="21.75" hidden="false" customHeight="true" outlineLevel="0" collapsed="false">
      <c r="A12" s="2"/>
      <c r="B12" s="15" t="s">
        <v>794</v>
      </c>
      <c r="C12" s="15"/>
      <c r="D12" s="15"/>
      <c r="E12" s="15"/>
      <c r="F12" s="15"/>
      <c r="G12" s="15"/>
      <c r="H12" s="15"/>
    </row>
    <row r="13" customFormat="false" ht="27.75" hidden="false" customHeight="true" outlineLevel="0" collapsed="false">
      <c r="A13" s="2"/>
      <c r="B13" s="7" t="s">
        <v>16</v>
      </c>
      <c r="C13" s="7" t="s">
        <v>795</v>
      </c>
      <c r="D13" s="7" t="s">
        <v>796</v>
      </c>
      <c r="E13" s="7" t="s">
        <v>797</v>
      </c>
      <c r="F13" s="7" t="s">
        <v>89</v>
      </c>
      <c r="G13" s="7" t="s">
        <v>90</v>
      </c>
      <c r="H13" s="7" t="s">
        <v>798</v>
      </c>
    </row>
    <row r="14" customFormat="false" ht="21.75" hidden="false" customHeight="true" outlineLevel="0" collapsed="false">
      <c r="A14" s="2"/>
      <c r="B14" s="33" t="s">
        <v>799</v>
      </c>
      <c r="C14" s="34" t="s">
        <v>800</v>
      </c>
      <c r="D14" s="35"/>
      <c r="E14" s="35"/>
      <c r="F14" s="35"/>
      <c r="G14" s="35"/>
      <c r="H14" s="35"/>
    </row>
    <row r="15" customFormat="false" ht="36" hidden="false" customHeight="true" outlineLevel="0" collapsed="false">
      <c r="A15" s="2"/>
      <c r="B15" s="9" t="s">
        <v>801</v>
      </c>
      <c r="C15" s="17" t="s">
        <v>93</v>
      </c>
      <c r="D15" s="36" t="n">
        <v>40</v>
      </c>
      <c r="E15" s="36" t="n">
        <v>40</v>
      </c>
      <c r="F15" s="18" t="s">
        <v>94</v>
      </c>
      <c r="G15" s="8" t="n">
        <f aca="false">'Master of Price'!$G$12</f>
        <v>352000</v>
      </c>
      <c r="H15" s="8" t="n">
        <f aca="false">E15*G15</f>
        <v>14080000</v>
      </c>
    </row>
    <row r="16" customFormat="false" ht="27.75" hidden="false" customHeight="true" outlineLevel="0" collapsed="false">
      <c r="A16" s="2"/>
      <c r="B16" s="9" t="s">
        <v>802</v>
      </c>
      <c r="C16" s="17" t="s">
        <v>96</v>
      </c>
      <c r="D16" s="36" t="n">
        <v>40</v>
      </c>
      <c r="E16" s="36" t="n">
        <v>40</v>
      </c>
      <c r="F16" s="18" t="s">
        <v>94</v>
      </c>
      <c r="G16" s="8" t="n">
        <f aca="false">'Master of Price'!$G$13</f>
        <v>100000</v>
      </c>
      <c r="H16" s="8" t="n">
        <f aca="false">E16*G16</f>
        <v>4000000</v>
      </c>
    </row>
    <row r="17" customFormat="false" ht="27.75" hidden="false" customHeight="true" outlineLevel="0" collapsed="false">
      <c r="A17" s="2"/>
      <c r="B17" s="9" t="s">
        <v>803</v>
      </c>
      <c r="C17" s="17" t="s">
        <v>98</v>
      </c>
      <c r="D17" s="36" t="n">
        <v>40</v>
      </c>
      <c r="E17" s="36" t="n">
        <v>40</v>
      </c>
      <c r="F17" s="18" t="s">
        <v>94</v>
      </c>
      <c r="G17" s="8" t="n">
        <f aca="false">'Master of Price'!$G$14</f>
        <v>28000</v>
      </c>
      <c r="H17" s="8" t="n">
        <f aca="false">E17*G17</f>
        <v>1120000</v>
      </c>
    </row>
    <row r="18" customFormat="false" ht="27.75" hidden="false" customHeight="true" outlineLevel="0" collapsed="false">
      <c r="A18" s="2"/>
      <c r="B18" s="9" t="s">
        <v>804</v>
      </c>
      <c r="C18" s="17" t="s">
        <v>100</v>
      </c>
      <c r="D18" s="36" t="n">
        <v>40</v>
      </c>
      <c r="E18" s="36" t="n">
        <v>40</v>
      </c>
      <c r="F18" s="18" t="s">
        <v>94</v>
      </c>
      <c r="G18" s="8" t="n">
        <f aca="false">'Master of Price'!$G$15</f>
        <v>45000</v>
      </c>
      <c r="H18" s="8" t="n">
        <f aca="false">E18*G18</f>
        <v>1800000</v>
      </c>
    </row>
    <row r="19" customFormat="false" ht="27.75" hidden="false" customHeight="true" outlineLevel="0" collapsed="false">
      <c r="A19" s="2"/>
      <c r="B19" s="9" t="s">
        <v>805</v>
      </c>
      <c r="C19" s="17" t="s">
        <v>102</v>
      </c>
      <c r="D19" s="36" t="n">
        <v>40</v>
      </c>
      <c r="E19" s="36" t="n">
        <v>40</v>
      </c>
      <c r="F19" s="18" t="s">
        <v>94</v>
      </c>
      <c r="G19" s="8" t="n">
        <f aca="false">'Master of Price'!$G$16</f>
        <v>75000</v>
      </c>
      <c r="H19" s="8" t="n">
        <f aca="false">E19*G19</f>
        <v>3000000</v>
      </c>
    </row>
    <row r="20" customFormat="false" ht="25.5" hidden="false" customHeight="true" outlineLevel="0" collapsed="false">
      <c r="A20" s="2"/>
      <c r="B20" s="23" t="s">
        <v>806</v>
      </c>
      <c r="C20" s="23"/>
      <c r="D20" s="23"/>
      <c r="E20" s="23"/>
      <c r="F20" s="23"/>
      <c r="G20" s="23"/>
      <c r="H20" s="11" t="n">
        <f aca="false">SUM(H15:H19)</f>
        <v>24000000</v>
      </c>
    </row>
    <row r="21" customFormat="false" ht="21.75" hidden="false" customHeight="true" outlineLevel="0" collapsed="false">
      <c r="A21" s="2"/>
      <c r="B21" s="15" t="s">
        <v>807</v>
      </c>
      <c r="C21" s="15"/>
      <c r="D21" s="15"/>
      <c r="E21" s="15"/>
      <c r="F21" s="15"/>
      <c r="G21" s="15"/>
      <c r="H21" s="15"/>
    </row>
    <row r="22" customFormat="false" ht="27.75" hidden="false" customHeight="true" outlineLevel="0" collapsed="false">
      <c r="A22" s="2"/>
      <c r="B22" s="7" t="s">
        <v>16</v>
      </c>
      <c r="C22" s="7" t="s">
        <v>795</v>
      </c>
      <c r="D22" s="7" t="s">
        <v>796</v>
      </c>
      <c r="E22" s="7" t="s">
        <v>797</v>
      </c>
      <c r="F22" s="7" t="s">
        <v>89</v>
      </c>
      <c r="G22" s="7" t="s">
        <v>90</v>
      </c>
      <c r="H22" s="7" t="s">
        <v>798</v>
      </c>
    </row>
    <row r="23" customFormat="false" ht="21.75" hidden="false" customHeight="true" outlineLevel="0" collapsed="false">
      <c r="A23" s="2"/>
      <c r="B23" s="33" t="s">
        <v>808</v>
      </c>
      <c r="C23" s="34" t="s">
        <v>809</v>
      </c>
      <c r="D23" s="35"/>
      <c r="E23" s="35"/>
      <c r="F23" s="35"/>
      <c r="G23" s="35"/>
      <c r="H23" s="35"/>
    </row>
    <row r="24" customFormat="false" ht="36" hidden="false" customHeight="true" outlineLevel="0" collapsed="false">
      <c r="A24" s="2"/>
      <c r="B24" s="9" t="s">
        <v>810</v>
      </c>
      <c r="C24" s="17" t="s">
        <v>113</v>
      </c>
      <c r="D24" s="36" t="n">
        <v>0.1</v>
      </c>
      <c r="E24" s="36" t="n">
        <v>0.1</v>
      </c>
      <c r="F24" s="18" t="s">
        <v>114</v>
      </c>
      <c r="G24" s="8" t="n">
        <f aca="false">'Master of Price'!$G$21</f>
        <v>1000000</v>
      </c>
      <c r="H24" s="8" t="n">
        <f aca="false">E24*G24</f>
        <v>100000</v>
      </c>
    </row>
    <row r="25" customFormat="false" ht="25.5" hidden="false" customHeight="true" outlineLevel="0" collapsed="false">
      <c r="A25" s="2"/>
      <c r="B25" s="23" t="s">
        <v>811</v>
      </c>
      <c r="C25" s="23"/>
      <c r="D25" s="23"/>
      <c r="E25" s="23"/>
      <c r="F25" s="23"/>
      <c r="G25" s="23"/>
      <c r="H25" s="11" t="n">
        <f aca="false">SUM(H24)</f>
        <v>100000</v>
      </c>
    </row>
    <row r="26" customFormat="false" ht="21.75" hidden="false" customHeight="true" outlineLevel="0" collapsed="false">
      <c r="A26" s="2"/>
      <c r="B26" s="15" t="s">
        <v>812</v>
      </c>
      <c r="C26" s="15"/>
      <c r="D26" s="15"/>
      <c r="E26" s="15"/>
      <c r="F26" s="15"/>
      <c r="G26" s="15"/>
      <c r="H26" s="15"/>
    </row>
    <row r="27" customFormat="false" ht="27.75" hidden="false" customHeight="true" outlineLevel="0" collapsed="false">
      <c r="A27" s="2"/>
      <c r="B27" s="7" t="s">
        <v>16</v>
      </c>
      <c r="C27" s="7" t="s">
        <v>795</v>
      </c>
      <c r="D27" s="7" t="s">
        <v>796</v>
      </c>
      <c r="E27" s="7" t="s">
        <v>797</v>
      </c>
      <c r="F27" s="7" t="s">
        <v>89</v>
      </c>
      <c r="G27" s="7" t="s">
        <v>90</v>
      </c>
      <c r="H27" s="7" t="s">
        <v>798</v>
      </c>
    </row>
    <row r="28" customFormat="false" ht="21.75" hidden="false" customHeight="true" outlineLevel="0" collapsed="false">
      <c r="A28" s="2"/>
      <c r="B28" s="33" t="s">
        <v>813</v>
      </c>
      <c r="C28" s="34" t="s">
        <v>814</v>
      </c>
      <c r="D28" s="35"/>
      <c r="E28" s="35"/>
      <c r="F28" s="35"/>
      <c r="G28" s="35"/>
      <c r="H28" s="35"/>
    </row>
    <row r="29" customFormat="false" ht="36" hidden="false" customHeight="true" outlineLevel="0" collapsed="false">
      <c r="A29" s="2"/>
      <c r="B29" s="9" t="s">
        <v>815</v>
      </c>
      <c r="C29" s="17" t="s">
        <v>147</v>
      </c>
      <c r="D29" s="36" t="n">
        <v>1</v>
      </c>
      <c r="E29" s="36" t="n">
        <v>1</v>
      </c>
      <c r="F29" s="18" t="s">
        <v>133</v>
      </c>
      <c r="G29" s="8" t="n">
        <f aca="false">'Master of Price'!$G$35</f>
        <v>5000000</v>
      </c>
      <c r="H29" s="8" t="n">
        <f aca="false">E29*G29</f>
        <v>5000000</v>
      </c>
    </row>
    <row r="30" customFormat="false" ht="36" hidden="false" customHeight="true" outlineLevel="0" collapsed="false">
      <c r="A30" s="2"/>
      <c r="B30" s="9" t="s">
        <v>816</v>
      </c>
      <c r="C30" s="17" t="s">
        <v>149</v>
      </c>
      <c r="D30" s="36" t="n">
        <v>1</v>
      </c>
      <c r="E30" s="36" t="n">
        <v>1</v>
      </c>
      <c r="F30" s="18" t="s">
        <v>136</v>
      </c>
      <c r="G30" s="8" t="n">
        <f aca="false">'Master of Price'!$G$36</f>
        <v>1500000</v>
      </c>
      <c r="H30" s="8" t="n">
        <f aca="false">E30*G30</f>
        <v>1500000</v>
      </c>
    </row>
    <row r="31" customFormat="false" ht="27.75" hidden="false" customHeight="true" outlineLevel="0" collapsed="false">
      <c r="A31" s="2"/>
      <c r="B31" s="9" t="s">
        <v>836</v>
      </c>
      <c r="C31" s="17" t="s">
        <v>151</v>
      </c>
      <c r="D31" s="36" t="n">
        <v>1</v>
      </c>
      <c r="E31" s="36" t="n">
        <v>1</v>
      </c>
      <c r="F31" s="18" t="s">
        <v>136</v>
      </c>
      <c r="G31" s="8" t="n">
        <f aca="false">'Master of Price'!$G$37</f>
        <v>500000</v>
      </c>
      <c r="H31" s="8" t="n">
        <f aca="false">E31*G31</f>
        <v>500000</v>
      </c>
    </row>
    <row r="32" customFormat="false" ht="25.5" hidden="false" customHeight="true" outlineLevel="0" collapsed="false">
      <c r="A32" s="2"/>
      <c r="B32" s="23" t="s">
        <v>817</v>
      </c>
      <c r="C32" s="23"/>
      <c r="D32" s="23"/>
      <c r="E32" s="23"/>
      <c r="F32" s="23"/>
      <c r="G32" s="23"/>
      <c r="H32" s="11" t="n">
        <f aca="false">SUM(H29:H31)</f>
        <v>7000000</v>
      </c>
    </row>
    <row r="33" customFormat="false" ht="21.75" hidden="false" customHeight="true" outlineLevel="0" collapsed="false">
      <c r="A33" s="2"/>
      <c r="B33" s="37" t="s">
        <v>818</v>
      </c>
      <c r="C33" s="37"/>
      <c r="D33" s="37"/>
      <c r="E33" s="37"/>
      <c r="F33" s="37"/>
      <c r="G33" s="37"/>
      <c r="H33" s="38" t="n">
        <f aca="false">H36-(H20+H25+H32)</f>
        <v>-11088858</v>
      </c>
    </row>
    <row r="34" customFormat="false" ht="27.75" hidden="false" customHeight="true" outlineLevel="0" collapsed="false">
      <c r="A34" s="2"/>
      <c r="B34" s="10" t="s">
        <v>819</v>
      </c>
      <c r="C34" s="10"/>
      <c r="D34" s="10"/>
      <c r="E34" s="10"/>
      <c r="F34" s="10"/>
      <c r="G34" s="10"/>
      <c r="H34" s="39" t="n">
        <f aca="false">H20+H25+H32+H33</f>
        <v>20011142</v>
      </c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</row>
    <row r="36" customFormat="false" ht="21.75" hidden="false" customHeight="true" outlineLevel="0" collapsed="false">
      <c r="A36" s="2"/>
      <c r="B36" s="21" t="s">
        <v>820</v>
      </c>
      <c r="C36" s="21"/>
      <c r="D36" s="21"/>
      <c r="E36" s="21"/>
      <c r="F36" s="21"/>
      <c r="G36" s="21"/>
      <c r="H36" s="40" t="n">
        <f aca="false">RINGKASAN!$K$17</f>
        <v>20011142</v>
      </c>
    </row>
    <row r="37" customFormat="false" ht="21.75" hidden="false" customHeight="true" outlineLevel="0" collapsed="false">
      <c r="A37" s="2"/>
      <c r="B37" s="41" t="s">
        <v>821</v>
      </c>
      <c r="C37" s="41"/>
      <c r="D37" s="41"/>
      <c r="E37" s="41"/>
      <c r="F37" s="41"/>
      <c r="G37" s="41"/>
      <c r="H37" s="8" t="n">
        <f aca="false">H34-H36</f>
        <v>0</v>
      </c>
    </row>
    <row r="38" customFormat="false" ht="21.75" hidden="false" customHeight="true" outlineLevel="0" collapsed="false">
      <c r="A38" s="2"/>
      <c r="B38" s="42" t="s">
        <v>822</v>
      </c>
      <c r="C38" s="42"/>
      <c r="D38" s="42"/>
      <c r="E38" s="42"/>
      <c r="F38" s="42"/>
      <c r="G38" s="42"/>
      <c r="H38" s="37" t="str">
        <f aca="false">IF(H33&lt;0,"OVER BUDGET","OK")</f>
        <v>OVER BUDGET</v>
      </c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</row>
    <row r="61" customFormat="false" ht="15" hidden="false" customHeight="false" outlineLevel="0" collapsed="false">
      <c r="A61" s="2"/>
      <c r="B61" s="2"/>
      <c r="C61" s="2"/>
      <c r="D61" s="2"/>
      <c r="E61" s="2"/>
      <c r="F61" s="2"/>
      <c r="G61" s="2"/>
      <c r="H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  <c r="G62" s="2"/>
      <c r="H62" s="2"/>
    </row>
    <row r="63" customFormat="false" ht="15" hidden="false" customHeight="false" outlineLevel="0" collapsed="false">
      <c r="A63" s="2"/>
      <c r="B63" s="2"/>
      <c r="C63" s="2"/>
      <c r="D63" s="2"/>
      <c r="E63" s="2"/>
      <c r="F63" s="2"/>
      <c r="G63" s="2"/>
      <c r="H63" s="2"/>
    </row>
    <row r="64" customFormat="false" ht="15" hidden="false" customHeight="false" outlineLevel="0" collapsed="false">
      <c r="A64" s="2"/>
      <c r="B64" s="2"/>
      <c r="C64" s="2"/>
      <c r="D64" s="2"/>
      <c r="E64" s="2"/>
      <c r="F64" s="2"/>
      <c r="G64" s="2"/>
      <c r="H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</row>
    <row r="66" customFormat="false" ht="15" hidden="false" customHeight="false" outlineLevel="0" collapsed="false">
      <c r="A66" s="2"/>
      <c r="B66" s="2"/>
      <c r="C66" s="2"/>
      <c r="D66" s="2"/>
      <c r="E66" s="2"/>
      <c r="F66" s="2"/>
      <c r="G66" s="2"/>
      <c r="H66" s="2"/>
    </row>
    <row r="67" customFormat="false" ht="15" hidden="false" customHeight="false" outlineLevel="0" collapsed="false">
      <c r="A67" s="2"/>
      <c r="B67" s="2"/>
      <c r="C67" s="2"/>
      <c r="D67" s="2"/>
      <c r="E67" s="2"/>
      <c r="F67" s="2"/>
      <c r="G67" s="2"/>
      <c r="H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"/>
      <c r="H70" s="2"/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</row>
    <row r="250" customFormat="false" ht="15.7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</row>
    <row r="251" customFormat="false" ht="15.7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</row>
    <row r="252" customFormat="false" ht="15.7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</row>
    <row r="253" customFormat="false" ht="15.7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</row>
    <row r="254" customFormat="false" ht="15.7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</row>
    <row r="255" customFormat="false" ht="15.7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</row>
    <row r="256" customFormat="false" ht="15.7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</row>
    <row r="257" customFormat="false" ht="15.7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</row>
    <row r="258" customFormat="false" ht="15.7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</row>
    <row r="259" customFormat="false" ht="15.7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</row>
    <row r="260" customFormat="false" ht="15.7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</row>
    <row r="261" customFormat="false" ht="15.7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</row>
    <row r="262" customFormat="false" ht="15.7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</row>
    <row r="263" customFormat="false" ht="15.7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</row>
    <row r="264" customFormat="false" ht="15.7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</row>
    <row r="265" customFormat="false" ht="15.7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</row>
    <row r="266" customFormat="false" ht="15.7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</row>
    <row r="267" customFormat="false" ht="15.7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</row>
    <row r="268" customFormat="false" ht="15.7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</row>
    <row r="269" customFormat="false" ht="15.7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</row>
    <row r="270" customFormat="false" ht="15.7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</row>
    <row r="271" customFormat="false" ht="15.7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</row>
    <row r="272" customFormat="false" ht="15.7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</row>
    <row r="273" customFormat="false" ht="15.7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</row>
    <row r="274" customFormat="false" ht="15.7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</row>
    <row r="275" customFormat="false" ht="15.7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</row>
    <row r="276" customFormat="false" ht="15.7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</row>
    <row r="277" customFormat="false" ht="15.7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</row>
    <row r="278" customFormat="false" ht="15.7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</row>
    <row r="279" customFormat="false" ht="15.7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</row>
    <row r="280" customFormat="false" ht="15.7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</row>
    <row r="281" customFormat="false" ht="15.7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</row>
    <row r="282" customFormat="false" ht="15.7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</row>
    <row r="283" customFormat="false" ht="15.7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</row>
    <row r="284" customFormat="false" ht="15.7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</row>
    <row r="285" customFormat="false" ht="15.7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</row>
    <row r="286" customFormat="false" ht="15.7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</row>
    <row r="287" customFormat="false" ht="15.7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</row>
    <row r="288" customFormat="false" ht="15.7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</row>
    <row r="289" customFormat="false" ht="15.7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</row>
    <row r="290" customFormat="false" ht="15.7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</row>
    <row r="291" customFormat="false" ht="15.7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</row>
    <row r="292" customFormat="false" ht="15.7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</row>
    <row r="293" customFormat="false" ht="15.7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</row>
    <row r="294" customFormat="false" ht="15.7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</row>
    <row r="295" customFormat="false" ht="15.7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</row>
    <row r="296" customFormat="false" ht="15.7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</row>
    <row r="297" customFormat="false" ht="15.7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</row>
    <row r="298" customFormat="false" ht="15.7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</row>
    <row r="299" customFormat="false" ht="15.7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</row>
    <row r="300" customFormat="false" ht="15.7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</row>
    <row r="301" customFormat="false" ht="15.7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</row>
    <row r="302" customFormat="false" ht="15.7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</row>
    <row r="303" customFormat="false" ht="15.7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</row>
    <row r="304" customFormat="false" ht="15.7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</row>
    <row r="305" customFormat="false" ht="15.7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</row>
    <row r="306" customFormat="false" ht="15.7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</row>
    <row r="307" customFormat="false" ht="15.7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</row>
    <row r="308" customFormat="false" ht="15.7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</row>
    <row r="309" customFormat="false" ht="15.7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</row>
    <row r="310" customFormat="false" ht="15.7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</row>
    <row r="311" customFormat="false" ht="15.7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</row>
    <row r="312" customFormat="false" ht="15.7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</row>
    <row r="313" customFormat="false" ht="15.7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</row>
    <row r="314" customFormat="false" ht="15.7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</row>
    <row r="315" customFormat="false" ht="15.7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</row>
    <row r="316" customFormat="false" ht="15.7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</row>
    <row r="317" customFormat="false" ht="15.7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</row>
    <row r="318" customFormat="false" ht="15.7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</row>
    <row r="319" customFormat="false" ht="15.7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</row>
    <row r="320" customFormat="false" ht="15.7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</row>
    <row r="321" customFormat="false" ht="15.7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</row>
    <row r="322" customFormat="false" ht="15.7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</row>
    <row r="323" customFormat="false" ht="15.7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</row>
    <row r="324" customFormat="false" ht="15.7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</row>
    <row r="325" customFormat="false" ht="15.7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</row>
    <row r="326" customFormat="false" ht="15.7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</row>
    <row r="327" customFormat="false" ht="15.7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</row>
    <row r="328" customFormat="false" ht="15.7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</row>
    <row r="329" customFormat="false" ht="15.7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</row>
    <row r="330" customFormat="false" ht="15.7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</row>
    <row r="331" customFormat="false" ht="15.7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</row>
    <row r="332" customFormat="false" ht="15.7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</row>
    <row r="333" customFormat="false" ht="15.7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</row>
    <row r="334" customFormat="false" ht="15.7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</row>
    <row r="335" customFormat="false" ht="15.7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</row>
    <row r="336" customFormat="false" ht="15.7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</row>
    <row r="337" customFormat="false" ht="15.7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</row>
    <row r="338" customFormat="false" ht="15.7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</row>
    <row r="339" customFormat="false" ht="15.7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</row>
    <row r="340" customFormat="false" ht="15.7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</row>
    <row r="341" customFormat="false" ht="15.7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</row>
    <row r="342" customFormat="false" ht="15.7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</row>
    <row r="343" customFormat="false" ht="15.7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</row>
    <row r="344" customFormat="false" ht="15.7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</row>
    <row r="345" customFormat="false" ht="15.7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</row>
    <row r="346" customFormat="false" ht="15.7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</row>
    <row r="347" customFormat="false" ht="15.7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</row>
    <row r="348" customFormat="false" ht="15.7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</row>
    <row r="349" customFormat="false" ht="15.7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</row>
    <row r="350" customFormat="false" ht="15.7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</row>
    <row r="351" customFormat="false" ht="15.7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</row>
    <row r="352" customFormat="false" ht="15.7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</row>
    <row r="353" customFormat="false" ht="15.7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</row>
    <row r="354" customFormat="false" ht="15.7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</row>
    <row r="355" customFormat="false" ht="15.7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</row>
    <row r="356" customFormat="false" ht="15.7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</row>
    <row r="357" customFormat="false" ht="15.7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</row>
    <row r="358" customFormat="false" ht="15.7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</row>
    <row r="359" customFormat="false" ht="15.7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</row>
    <row r="360" customFormat="false" ht="15.7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</row>
    <row r="361" customFormat="false" ht="15.7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</row>
    <row r="362" customFormat="false" ht="15.7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</row>
    <row r="363" customFormat="false" ht="15.7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</row>
    <row r="364" customFormat="false" ht="15.7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</row>
    <row r="365" customFormat="false" ht="15.7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</row>
    <row r="366" customFormat="false" ht="15.7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</row>
    <row r="367" customFormat="false" ht="15.7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</row>
    <row r="368" customFormat="false" ht="15.7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</row>
    <row r="369" customFormat="false" ht="15.7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</row>
    <row r="370" customFormat="false" ht="15.7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</row>
    <row r="371" customFormat="false" ht="15.7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</row>
    <row r="372" customFormat="false" ht="15.7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</row>
    <row r="373" customFormat="false" ht="15.7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</row>
    <row r="374" customFormat="false" ht="15.7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</row>
    <row r="375" customFormat="false" ht="15.7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</row>
    <row r="376" customFormat="false" ht="15.7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</row>
    <row r="377" customFormat="false" ht="15.7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</row>
    <row r="378" customFormat="false" ht="15.7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</row>
    <row r="379" customFormat="false" ht="15.7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</row>
    <row r="380" customFormat="false" ht="15.7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</row>
    <row r="381" customFormat="false" ht="15.7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</row>
    <row r="382" customFormat="false" ht="15.7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</row>
    <row r="383" customFormat="false" ht="15.7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</row>
    <row r="384" customFormat="false" ht="15.7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</row>
    <row r="385" customFormat="false" ht="15.7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</row>
    <row r="386" customFormat="false" ht="15.7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</row>
    <row r="387" customFormat="false" ht="15.7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</row>
    <row r="388" customFormat="false" ht="15.7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</row>
    <row r="389" customFormat="false" ht="15.7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</row>
    <row r="390" customFormat="false" ht="15.7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</row>
    <row r="391" customFormat="false" ht="15.7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</row>
    <row r="392" customFormat="false" ht="15.7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</row>
    <row r="393" customFormat="false" ht="15.7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</row>
    <row r="394" customFormat="false" ht="15.7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</row>
    <row r="395" customFormat="false" ht="15.7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</row>
    <row r="396" customFormat="false" ht="15.7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</row>
    <row r="397" customFormat="false" ht="15.7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</row>
    <row r="398" customFormat="false" ht="15.7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</row>
    <row r="399" customFormat="false" ht="15.7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</row>
    <row r="400" customFormat="false" ht="15.7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</row>
    <row r="401" customFormat="false" ht="15.7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</row>
    <row r="402" customFormat="false" ht="15.7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</row>
    <row r="403" customFormat="false" ht="15.7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</row>
    <row r="404" customFormat="false" ht="15.7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</row>
    <row r="405" customFormat="false" ht="15.7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</row>
    <row r="406" customFormat="false" ht="15.7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</row>
    <row r="407" customFormat="false" ht="15.7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</row>
    <row r="408" customFormat="false" ht="15.7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</row>
    <row r="409" customFormat="false" ht="15.7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</row>
    <row r="410" customFormat="false" ht="15.7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</row>
    <row r="411" customFormat="false" ht="15.7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</row>
    <row r="412" customFormat="false" ht="15.7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</row>
    <row r="413" customFormat="false" ht="15.7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</row>
    <row r="414" customFormat="false" ht="15.7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</row>
    <row r="415" customFormat="false" ht="15.7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</row>
    <row r="416" customFormat="false" ht="15.7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</row>
    <row r="417" customFormat="false" ht="15.7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</row>
    <row r="418" customFormat="false" ht="15.7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</row>
    <row r="419" customFormat="false" ht="15.7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</row>
    <row r="420" customFormat="false" ht="15.7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</row>
    <row r="421" customFormat="false" ht="15.7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</row>
    <row r="422" customFormat="false" ht="15.7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</row>
    <row r="423" customFormat="false" ht="15.7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</row>
    <row r="424" customFormat="false" ht="15.7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</row>
    <row r="425" customFormat="false" ht="15.7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</row>
    <row r="426" customFormat="false" ht="15.7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</row>
    <row r="427" customFormat="false" ht="15.7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</row>
    <row r="428" customFormat="false" ht="15.7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</row>
    <row r="429" customFormat="false" ht="15.7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</row>
    <row r="430" customFormat="false" ht="15.7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</row>
    <row r="431" customFormat="false" ht="15.7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</row>
    <row r="432" customFormat="false" ht="15.7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</row>
    <row r="433" customFormat="false" ht="15.7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</row>
    <row r="434" customFormat="false" ht="15.7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</row>
    <row r="435" customFormat="false" ht="15.7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</row>
    <row r="436" customFormat="false" ht="15.7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</row>
    <row r="437" customFormat="false" ht="15.7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</row>
    <row r="438" customFormat="false" ht="15.7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</row>
    <row r="439" customFormat="false" ht="15.7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</row>
    <row r="440" customFormat="false" ht="15.7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</row>
    <row r="441" customFormat="false" ht="15.7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</row>
    <row r="442" customFormat="false" ht="15.7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</row>
    <row r="443" customFormat="false" ht="15.7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</row>
    <row r="444" customFormat="false" ht="15.7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</row>
    <row r="445" customFormat="false" ht="15.7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</row>
    <row r="446" customFormat="false" ht="15.7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</row>
    <row r="447" customFormat="false" ht="15.7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</row>
    <row r="448" customFormat="false" ht="15.7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</row>
    <row r="449" customFormat="false" ht="15.7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</row>
    <row r="450" customFormat="false" ht="15.7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</row>
    <row r="451" customFormat="false" ht="15.7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</row>
    <row r="452" customFormat="false" ht="15.7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</row>
    <row r="453" customFormat="false" ht="15.7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</row>
    <row r="454" customFormat="false" ht="15.7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</row>
    <row r="455" customFormat="false" ht="15.7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</row>
    <row r="456" customFormat="false" ht="15.7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</row>
    <row r="457" customFormat="false" ht="15.7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</row>
    <row r="458" customFormat="false" ht="15.7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</row>
    <row r="459" customFormat="false" ht="15.7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</row>
    <row r="460" customFormat="false" ht="15.7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</row>
    <row r="461" customFormat="false" ht="15.7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</row>
    <row r="462" customFormat="false" ht="15.7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</row>
    <row r="463" customFormat="false" ht="15.7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</row>
    <row r="464" customFormat="false" ht="15.7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</row>
    <row r="465" customFormat="false" ht="15.7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</row>
    <row r="466" customFormat="false" ht="15.7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</row>
    <row r="467" customFormat="false" ht="15.7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</row>
    <row r="468" customFormat="false" ht="15.7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</row>
    <row r="469" customFormat="false" ht="15.7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</row>
    <row r="470" customFormat="false" ht="15.7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</row>
    <row r="471" customFormat="false" ht="15.7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</row>
    <row r="472" customFormat="false" ht="15.7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</row>
    <row r="473" customFormat="false" ht="15.7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</row>
    <row r="474" customFormat="false" ht="15.7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</row>
    <row r="475" customFormat="false" ht="15.7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</row>
    <row r="476" customFormat="false" ht="15.7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</row>
    <row r="477" customFormat="false" ht="15.7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</row>
    <row r="478" customFormat="false" ht="15.7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</row>
    <row r="479" customFormat="false" ht="15.7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</row>
    <row r="480" customFormat="false" ht="15.7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</row>
    <row r="481" customFormat="false" ht="15.7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</row>
    <row r="482" customFormat="false" ht="15.7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</row>
    <row r="483" customFormat="false" ht="15.7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</row>
    <row r="484" customFormat="false" ht="15.7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</row>
    <row r="485" customFormat="false" ht="15.7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</row>
    <row r="486" customFormat="false" ht="15.7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</row>
    <row r="487" customFormat="false" ht="15.7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</row>
    <row r="488" customFormat="false" ht="15.7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</row>
    <row r="489" customFormat="false" ht="15.7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</row>
    <row r="490" customFormat="false" ht="15.7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</row>
    <row r="491" customFormat="false" ht="15.7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</row>
    <row r="492" customFormat="false" ht="15.7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</row>
    <row r="493" customFormat="false" ht="15.7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</row>
    <row r="494" customFormat="false" ht="15.7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</row>
    <row r="495" customFormat="false" ht="15.7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</row>
    <row r="496" customFormat="false" ht="15.7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</row>
    <row r="497" customFormat="false" ht="15.7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</row>
    <row r="498" customFormat="false" ht="15.7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</row>
    <row r="499" customFormat="false" ht="15.7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</row>
    <row r="500" customFormat="false" ht="15.7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</row>
    <row r="501" customFormat="false" ht="15.7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</row>
    <row r="502" customFormat="false" ht="15.7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</row>
    <row r="503" customFormat="false" ht="15.7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</row>
    <row r="504" customFormat="false" ht="15.7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</row>
    <row r="505" customFormat="false" ht="15.7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</row>
    <row r="506" customFormat="false" ht="15.7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</row>
    <row r="507" customFormat="false" ht="15.7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</row>
    <row r="508" customFormat="false" ht="15.7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</row>
    <row r="509" customFormat="false" ht="15.7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</row>
    <row r="510" customFormat="false" ht="15.7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</row>
    <row r="511" customFormat="false" ht="15.7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</row>
    <row r="512" customFormat="false" ht="15.7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</row>
    <row r="513" customFormat="false" ht="15.7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</row>
    <row r="514" customFormat="false" ht="15.7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</row>
    <row r="515" customFormat="false" ht="15.7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</row>
    <row r="516" customFormat="false" ht="15.7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</row>
    <row r="517" customFormat="false" ht="15.7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</row>
    <row r="518" customFormat="false" ht="15.7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</row>
    <row r="519" customFormat="false" ht="15.7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</row>
    <row r="520" customFormat="false" ht="15.7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</row>
    <row r="521" customFormat="false" ht="15.7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</row>
    <row r="522" customFormat="false" ht="15.7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</row>
    <row r="523" customFormat="false" ht="15.7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</row>
    <row r="524" customFormat="false" ht="15.7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</row>
    <row r="525" customFormat="false" ht="15.7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</row>
    <row r="526" customFormat="false" ht="15.7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</row>
    <row r="527" customFormat="false" ht="15.7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</row>
    <row r="528" customFormat="false" ht="15.7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</row>
    <row r="529" customFormat="false" ht="15.7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</row>
    <row r="530" customFormat="false" ht="15.7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</row>
    <row r="531" customFormat="false" ht="15.7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</row>
    <row r="532" customFormat="false" ht="15.7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</row>
    <row r="533" customFormat="false" ht="15.7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</row>
    <row r="534" customFormat="false" ht="15.7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</row>
    <row r="535" customFormat="false" ht="15.7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</row>
    <row r="536" customFormat="false" ht="15.7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</row>
    <row r="537" customFormat="false" ht="15.7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</row>
    <row r="538" customFormat="false" ht="15.7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</row>
    <row r="539" customFormat="false" ht="15.7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</row>
    <row r="540" customFormat="false" ht="15.7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</row>
    <row r="541" customFormat="false" ht="15.7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</row>
    <row r="542" customFormat="false" ht="15.7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</row>
    <row r="543" customFormat="false" ht="15.7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</row>
    <row r="544" customFormat="false" ht="15.7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</row>
    <row r="545" customFormat="false" ht="15.7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</row>
    <row r="546" customFormat="false" ht="15.7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</row>
    <row r="547" customFormat="false" ht="15.7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</row>
    <row r="548" customFormat="false" ht="15.7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</row>
    <row r="549" customFormat="false" ht="15.7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</row>
    <row r="550" customFormat="false" ht="15.7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</row>
    <row r="551" customFormat="false" ht="15.7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</row>
    <row r="552" customFormat="false" ht="15.7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</row>
    <row r="553" customFormat="false" ht="15.7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</row>
    <row r="554" customFormat="false" ht="15.7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</row>
    <row r="555" customFormat="false" ht="15.7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</row>
    <row r="556" customFormat="false" ht="15.7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</row>
    <row r="557" customFormat="false" ht="15.7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</row>
    <row r="558" customFormat="false" ht="15.7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</row>
    <row r="559" customFormat="false" ht="15.7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</row>
    <row r="560" customFormat="false" ht="15.7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</row>
    <row r="561" customFormat="false" ht="15.7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</row>
    <row r="562" customFormat="false" ht="15.7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</row>
    <row r="563" customFormat="false" ht="15.7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</row>
    <row r="564" customFormat="false" ht="15.7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</row>
    <row r="565" customFormat="false" ht="15.7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</row>
    <row r="566" customFormat="false" ht="15.7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</row>
    <row r="567" customFormat="false" ht="15.7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</row>
    <row r="568" customFormat="false" ht="15.7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</row>
    <row r="569" customFormat="false" ht="15.7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</row>
    <row r="570" customFormat="false" ht="15.7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</row>
    <row r="571" customFormat="false" ht="15.7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</row>
    <row r="572" customFormat="false" ht="15.7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</row>
    <row r="573" customFormat="false" ht="15.7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</row>
    <row r="574" customFormat="false" ht="15.7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</row>
    <row r="575" customFormat="false" ht="15.7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</row>
    <row r="576" customFormat="false" ht="15.7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</row>
    <row r="577" customFormat="false" ht="15.7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</row>
    <row r="578" customFormat="false" ht="15.7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</row>
    <row r="579" customFormat="false" ht="15.7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</row>
    <row r="580" customFormat="false" ht="15.7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</row>
    <row r="581" customFormat="false" ht="15.7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</row>
    <row r="582" customFormat="false" ht="15.7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</row>
    <row r="583" customFormat="false" ht="15.7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</row>
    <row r="584" customFormat="false" ht="15.7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</row>
    <row r="585" customFormat="false" ht="15.7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</row>
    <row r="586" customFormat="false" ht="15.7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</row>
    <row r="587" customFormat="false" ht="15.7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</row>
    <row r="588" customFormat="false" ht="15.7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</row>
    <row r="589" customFormat="false" ht="15.7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</row>
    <row r="590" customFormat="false" ht="15.7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</row>
    <row r="591" customFormat="false" ht="15.7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</row>
    <row r="592" customFormat="false" ht="15.7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</row>
    <row r="593" customFormat="false" ht="15.7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</row>
    <row r="594" customFormat="false" ht="15.7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</row>
    <row r="595" customFormat="false" ht="15.7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</row>
    <row r="596" customFormat="false" ht="15.7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</row>
    <row r="597" customFormat="false" ht="15.7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</row>
    <row r="598" customFormat="false" ht="15.7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</row>
    <row r="599" customFormat="false" ht="15.7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</row>
    <row r="600" customFormat="false" ht="15.7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</row>
    <row r="601" customFormat="false" ht="15.7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</row>
    <row r="602" customFormat="false" ht="15.7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</row>
    <row r="603" customFormat="false" ht="15.7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</row>
    <row r="604" customFormat="false" ht="15.7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</row>
    <row r="605" customFormat="false" ht="15.7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</row>
    <row r="606" customFormat="false" ht="15.7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</row>
    <row r="607" customFormat="false" ht="15.7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</row>
    <row r="608" customFormat="false" ht="15.7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</row>
    <row r="609" customFormat="false" ht="15.7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</row>
    <row r="610" customFormat="false" ht="15.7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</row>
    <row r="611" customFormat="false" ht="15.7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</row>
    <row r="612" customFormat="false" ht="15.7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</row>
    <row r="613" customFormat="false" ht="15.7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</row>
    <row r="614" customFormat="false" ht="15.7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</row>
    <row r="615" customFormat="false" ht="15.7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</row>
    <row r="616" customFormat="false" ht="15.7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</row>
    <row r="617" customFormat="false" ht="15.7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</row>
    <row r="618" customFormat="false" ht="15.7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</row>
    <row r="619" customFormat="false" ht="15.7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</row>
    <row r="620" customFormat="false" ht="15.7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</row>
    <row r="621" customFormat="false" ht="15.7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</row>
    <row r="622" customFormat="false" ht="15.7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</row>
    <row r="623" customFormat="false" ht="15.7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</row>
    <row r="624" customFormat="false" ht="15.7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</row>
    <row r="625" customFormat="false" ht="15.7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</row>
    <row r="626" customFormat="false" ht="15.7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</row>
    <row r="627" customFormat="false" ht="15.7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</row>
    <row r="628" customFormat="false" ht="15.7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</row>
    <row r="629" customFormat="false" ht="15.7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</row>
    <row r="630" customFormat="false" ht="15.7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</row>
    <row r="631" customFormat="false" ht="15.7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</row>
    <row r="632" customFormat="false" ht="15.7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</row>
    <row r="633" customFormat="false" ht="15.7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</row>
    <row r="634" customFormat="false" ht="15.7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</row>
    <row r="635" customFormat="false" ht="15.7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</row>
    <row r="636" customFormat="false" ht="15.7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</row>
    <row r="637" customFormat="false" ht="15.7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</row>
    <row r="638" customFormat="false" ht="15.7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</row>
    <row r="639" customFormat="false" ht="15.7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</row>
    <row r="640" customFormat="false" ht="15.7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</row>
    <row r="641" customFormat="false" ht="15.7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</row>
    <row r="642" customFormat="false" ht="15.7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</row>
    <row r="643" customFormat="false" ht="15.7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</row>
    <row r="644" customFormat="false" ht="15.7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</row>
    <row r="645" customFormat="false" ht="15.7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</row>
    <row r="646" customFormat="false" ht="15.7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</row>
    <row r="647" customFormat="false" ht="15.7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</row>
    <row r="648" customFormat="false" ht="15.7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</row>
    <row r="649" customFormat="false" ht="15.7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</row>
    <row r="650" customFormat="false" ht="15.7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</row>
    <row r="651" customFormat="false" ht="15.7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</row>
    <row r="652" customFormat="false" ht="15.7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</row>
    <row r="653" customFormat="false" ht="15.7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</row>
    <row r="654" customFormat="false" ht="15.7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</row>
    <row r="655" customFormat="false" ht="15.7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</row>
    <row r="656" customFormat="false" ht="15.7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</row>
    <row r="657" customFormat="false" ht="15.7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</row>
    <row r="658" customFormat="false" ht="15.7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</row>
    <row r="659" customFormat="false" ht="15.7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</row>
    <row r="660" customFormat="false" ht="15.7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</row>
    <row r="661" customFormat="false" ht="15.7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</row>
    <row r="662" customFormat="false" ht="15.7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</row>
    <row r="663" customFormat="false" ht="15.7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</row>
    <row r="664" customFormat="false" ht="15.7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</row>
    <row r="665" customFormat="false" ht="15.7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</row>
    <row r="666" customFormat="false" ht="15.7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</row>
    <row r="667" customFormat="false" ht="15.7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</row>
    <row r="668" customFormat="false" ht="15.7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</row>
    <row r="669" customFormat="false" ht="15.7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</row>
    <row r="670" customFormat="false" ht="15.7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</row>
    <row r="671" customFormat="false" ht="15.7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</row>
    <row r="672" customFormat="false" ht="15.7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</row>
    <row r="673" customFormat="false" ht="15.7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</row>
    <row r="674" customFormat="false" ht="15.7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</row>
    <row r="675" customFormat="false" ht="15.7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</row>
    <row r="676" customFormat="false" ht="15.7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</row>
    <row r="677" customFormat="false" ht="15.7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</row>
    <row r="678" customFormat="false" ht="15.7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</row>
    <row r="679" customFormat="false" ht="15.7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</row>
    <row r="680" customFormat="false" ht="15.7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</row>
    <row r="681" customFormat="false" ht="15.7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</row>
    <row r="682" customFormat="false" ht="15.7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</row>
    <row r="683" customFormat="false" ht="15.7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</row>
    <row r="684" customFormat="false" ht="15.7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</row>
    <row r="685" customFormat="false" ht="15.7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</row>
    <row r="686" customFormat="false" ht="15.7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</row>
    <row r="687" customFormat="false" ht="15.7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</row>
    <row r="688" customFormat="false" ht="15.7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</row>
    <row r="689" customFormat="false" ht="15.7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</row>
    <row r="690" customFormat="false" ht="15.7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</row>
    <row r="691" customFormat="false" ht="15.7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</row>
    <row r="692" customFormat="false" ht="15.7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</row>
    <row r="693" customFormat="false" ht="15.7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</row>
    <row r="694" customFormat="false" ht="15.7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</row>
    <row r="695" customFormat="false" ht="15.7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</row>
    <row r="696" customFormat="false" ht="15.7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</row>
    <row r="697" customFormat="false" ht="15.7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</row>
    <row r="698" customFormat="false" ht="15.7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</row>
    <row r="699" customFormat="false" ht="15.7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</row>
    <row r="700" customFormat="false" ht="15.7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</row>
    <row r="701" customFormat="false" ht="15.7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</row>
    <row r="702" customFormat="false" ht="15.7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</row>
    <row r="703" customFormat="false" ht="15.7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</row>
    <row r="704" customFormat="false" ht="15.7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</row>
    <row r="705" customFormat="false" ht="15.7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</row>
    <row r="706" customFormat="false" ht="15.7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</row>
    <row r="707" customFormat="false" ht="15.7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</row>
    <row r="708" customFormat="false" ht="15.7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</row>
    <row r="709" customFormat="false" ht="15.7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</row>
    <row r="710" customFormat="false" ht="15.7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</row>
    <row r="711" customFormat="false" ht="15.7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</row>
    <row r="712" customFormat="false" ht="15.7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</row>
    <row r="713" customFormat="false" ht="15.7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</row>
    <row r="714" customFormat="false" ht="15.7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</row>
    <row r="715" customFormat="false" ht="15.7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</row>
    <row r="716" customFormat="false" ht="15.7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</row>
    <row r="717" customFormat="false" ht="15.7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</row>
    <row r="718" customFormat="false" ht="15.7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</row>
    <row r="719" customFormat="false" ht="15.7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</row>
    <row r="720" customFormat="false" ht="15.7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</row>
    <row r="721" customFormat="false" ht="15.7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</row>
    <row r="722" customFormat="false" ht="15.7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</row>
    <row r="723" customFormat="false" ht="15.7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</row>
    <row r="724" customFormat="false" ht="15.7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</row>
    <row r="725" customFormat="false" ht="15.7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</row>
    <row r="726" customFormat="false" ht="15.7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</row>
    <row r="727" customFormat="false" ht="15.7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</row>
    <row r="728" customFormat="false" ht="15.7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</row>
    <row r="729" customFormat="false" ht="15.7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</row>
    <row r="730" customFormat="false" ht="15.7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</row>
    <row r="731" customFormat="false" ht="15.7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</row>
    <row r="732" customFormat="false" ht="15.7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</row>
    <row r="733" customFormat="false" ht="15.7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</row>
    <row r="734" customFormat="false" ht="15.7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</row>
    <row r="735" customFormat="false" ht="15.7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</row>
    <row r="736" customFormat="false" ht="15.7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</row>
    <row r="737" customFormat="false" ht="15.7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</row>
    <row r="738" customFormat="false" ht="15.7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</row>
    <row r="739" customFormat="false" ht="15.7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</row>
    <row r="740" customFormat="false" ht="15.7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</row>
    <row r="741" customFormat="false" ht="15.7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</row>
    <row r="742" customFormat="false" ht="15.7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</row>
    <row r="743" customFormat="false" ht="15.7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</row>
    <row r="744" customFormat="false" ht="15.7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</row>
    <row r="745" customFormat="false" ht="15.7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</row>
    <row r="746" customFormat="false" ht="15.7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</row>
    <row r="747" customFormat="false" ht="15.7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</row>
    <row r="748" customFormat="false" ht="15.7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</row>
    <row r="749" customFormat="false" ht="15.7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</row>
    <row r="750" customFormat="false" ht="15.7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</row>
    <row r="751" customFormat="false" ht="15.7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</row>
    <row r="752" customFormat="false" ht="15.7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</row>
    <row r="753" customFormat="false" ht="15.7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</row>
    <row r="754" customFormat="false" ht="15.7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</row>
    <row r="755" customFormat="false" ht="15.7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</row>
    <row r="756" customFormat="false" ht="15.7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</row>
    <row r="757" customFormat="false" ht="15.7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</row>
    <row r="758" customFormat="false" ht="15.7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</row>
    <row r="759" customFormat="false" ht="15.7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</row>
    <row r="760" customFormat="false" ht="15.7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</row>
    <row r="761" customFormat="false" ht="15.7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</row>
    <row r="762" customFormat="false" ht="15.7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</row>
    <row r="763" customFormat="false" ht="15.7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</row>
    <row r="764" customFormat="false" ht="15.7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</row>
    <row r="765" customFormat="false" ht="15.7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</row>
    <row r="766" customFormat="false" ht="15.7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</row>
    <row r="767" customFormat="false" ht="15.7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</row>
    <row r="768" customFormat="false" ht="15.7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</row>
    <row r="769" customFormat="false" ht="15.7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</row>
    <row r="770" customFormat="false" ht="15.7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</row>
    <row r="771" customFormat="false" ht="15.7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</row>
    <row r="772" customFormat="false" ht="15.7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</row>
    <row r="773" customFormat="false" ht="15.7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</row>
    <row r="774" customFormat="false" ht="15.7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</row>
    <row r="775" customFormat="false" ht="15.7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</row>
    <row r="776" customFormat="false" ht="15.7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</row>
    <row r="777" customFormat="false" ht="15.7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</row>
    <row r="778" customFormat="false" ht="15.7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</row>
    <row r="779" customFormat="false" ht="15.7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</row>
    <row r="780" customFormat="false" ht="15.7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</row>
    <row r="781" customFormat="false" ht="15.7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</row>
    <row r="782" customFormat="false" ht="15.7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</row>
    <row r="783" customFormat="false" ht="15.7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</row>
    <row r="784" customFormat="false" ht="15.7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</row>
    <row r="785" customFormat="false" ht="15.7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</row>
    <row r="786" customFormat="false" ht="15.7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</row>
    <row r="787" customFormat="false" ht="15.7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</row>
    <row r="788" customFormat="false" ht="15.7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</row>
    <row r="789" customFormat="false" ht="15.7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</row>
    <row r="790" customFormat="false" ht="15.7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</row>
    <row r="791" customFormat="false" ht="15.7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</row>
    <row r="792" customFormat="false" ht="15.7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</row>
    <row r="793" customFormat="false" ht="15.7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</row>
    <row r="794" customFormat="false" ht="15.7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</row>
    <row r="795" customFormat="false" ht="15.7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</row>
    <row r="796" customFormat="false" ht="15.7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</row>
    <row r="797" customFormat="false" ht="15.7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</row>
    <row r="798" customFormat="false" ht="15.7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</row>
    <row r="799" customFormat="false" ht="15.7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</row>
    <row r="800" customFormat="false" ht="15.7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</row>
    <row r="801" customFormat="false" ht="15.7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</row>
    <row r="802" customFormat="false" ht="15.7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</row>
    <row r="803" customFormat="false" ht="15.7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</row>
    <row r="804" customFormat="false" ht="15.7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</row>
    <row r="805" customFormat="false" ht="15.7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</row>
    <row r="806" customFormat="false" ht="15.7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</row>
    <row r="807" customFormat="false" ht="15.7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</row>
    <row r="808" customFormat="false" ht="15.7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</row>
    <row r="809" customFormat="false" ht="15.7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</row>
    <row r="810" customFormat="false" ht="15.7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</row>
    <row r="811" customFormat="false" ht="15.7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</row>
    <row r="812" customFormat="false" ht="15.7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</row>
    <row r="813" customFormat="false" ht="15.7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</row>
    <row r="814" customFormat="false" ht="15.7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</row>
    <row r="815" customFormat="false" ht="15.7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</row>
    <row r="816" customFormat="false" ht="15.7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</row>
    <row r="817" customFormat="false" ht="15.7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</row>
    <row r="818" customFormat="false" ht="15.7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</row>
    <row r="819" customFormat="false" ht="15.7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</row>
    <row r="820" customFormat="false" ht="15.7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</row>
    <row r="821" customFormat="false" ht="15.7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</row>
    <row r="822" customFormat="false" ht="15.7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</row>
    <row r="823" customFormat="false" ht="15.7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</row>
    <row r="824" customFormat="false" ht="15.7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</row>
    <row r="825" customFormat="false" ht="15.7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</row>
    <row r="826" customFormat="false" ht="15.7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</row>
    <row r="827" customFormat="false" ht="15.7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</row>
    <row r="828" customFormat="false" ht="15.7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</row>
    <row r="829" customFormat="false" ht="15.7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</row>
    <row r="830" customFormat="false" ht="15.7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</row>
    <row r="831" customFormat="false" ht="15.7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</row>
    <row r="832" customFormat="false" ht="15.7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</row>
    <row r="833" customFormat="false" ht="15.7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</row>
    <row r="834" customFormat="false" ht="15.7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</row>
    <row r="835" customFormat="false" ht="15.7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</row>
    <row r="836" customFormat="false" ht="15.7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</row>
    <row r="837" customFormat="false" ht="15.7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</row>
    <row r="838" customFormat="false" ht="15.7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</row>
    <row r="839" customFormat="false" ht="15.7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</row>
    <row r="840" customFormat="false" ht="15.7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</row>
    <row r="841" customFormat="false" ht="15.7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</row>
    <row r="842" customFormat="false" ht="15.7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</row>
    <row r="843" customFormat="false" ht="15.7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</row>
    <row r="844" customFormat="false" ht="15.7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</row>
    <row r="845" customFormat="false" ht="15.7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</row>
    <row r="846" customFormat="false" ht="15.7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</row>
    <row r="847" customFormat="false" ht="15.7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</row>
    <row r="848" customFormat="false" ht="15.7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</row>
    <row r="849" customFormat="false" ht="15.7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</row>
    <row r="850" customFormat="false" ht="15.7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</row>
    <row r="851" customFormat="false" ht="15.7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</row>
    <row r="852" customFormat="false" ht="15.7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</row>
    <row r="853" customFormat="false" ht="15.7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</row>
    <row r="854" customFormat="false" ht="15.7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</row>
    <row r="855" customFormat="false" ht="15.7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</row>
    <row r="856" customFormat="false" ht="15.7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</row>
    <row r="857" customFormat="false" ht="15.7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</row>
    <row r="858" customFormat="false" ht="15.7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</row>
    <row r="859" customFormat="false" ht="15.7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</row>
    <row r="860" customFormat="false" ht="15.7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</row>
    <row r="861" customFormat="false" ht="15.7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</row>
    <row r="862" customFormat="false" ht="15.7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</row>
    <row r="863" customFormat="false" ht="15.7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</row>
    <row r="864" customFormat="false" ht="15.7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</row>
    <row r="865" customFormat="false" ht="15.7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</row>
    <row r="866" customFormat="false" ht="15.7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</row>
    <row r="867" customFormat="false" ht="15.7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</row>
    <row r="868" customFormat="false" ht="15.7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</row>
    <row r="869" customFormat="false" ht="15.7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</row>
    <row r="870" customFormat="false" ht="15.7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</row>
    <row r="871" customFormat="false" ht="15.7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</row>
    <row r="872" customFormat="false" ht="15.7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</row>
    <row r="873" customFormat="false" ht="15.7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</row>
    <row r="874" customFormat="false" ht="15.7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</row>
    <row r="875" customFormat="false" ht="15.7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</row>
    <row r="876" customFormat="false" ht="15.7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</row>
    <row r="877" customFormat="false" ht="15.7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</row>
    <row r="878" customFormat="false" ht="15.7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</row>
    <row r="879" customFormat="false" ht="15.7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</row>
    <row r="880" customFormat="false" ht="15.7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</row>
    <row r="881" customFormat="false" ht="15.7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</row>
    <row r="882" customFormat="false" ht="15.7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</row>
    <row r="883" customFormat="false" ht="15.7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</row>
    <row r="884" customFormat="false" ht="15.7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</row>
    <row r="885" customFormat="false" ht="15.7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</row>
    <row r="886" customFormat="false" ht="15.7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</row>
    <row r="887" customFormat="false" ht="15.7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</row>
    <row r="888" customFormat="false" ht="15.7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</row>
    <row r="889" customFormat="false" ht="15.7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</row>
    <row r="890" customFormat="false" ht="15.7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</row>
    <row r="891" customFormat="false" ht="15.7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</row>
    <row r="892" customFormat="false" ht="15.7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</row>
    <row r="893" customFormat="false" ht="15.7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</row>
    <row r="894" customFormat="false" ht="15.7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</row>
    <row r="895" customFormat="false" ht="15.7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</row>
    <row r="896" customFormat="false" ht="15.7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</row>
    <row r="897" customFormat="false" ht="15.7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</row>
    <row r="898" customFormat="false" ht="15.7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</row>
    <row r="899" customFormat="false" ht="15.7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</row>
    <row r="900" customFormat="false" ht="15.7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</row>
    <row r="901" customFormat="false" ht="15.7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</row>
    <row r="902" customFormat="false" ht="15.7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</row>
    <row r="903" customFormat="false" ht="15.7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</row>
    <row r="904" customFormat="false" ht="15.7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</row>
    <row r="905" customFormat="false" ht="15.7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</row>
    <row r="906" customFormat="false" ht="15.7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</row>
    <row r="907" customFormat="false" ht="15.7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</row>
    <row r="908" customFormat="false" ht="15.7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</row>
    <row r="909" customFormat="false" ht="15.7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</row>
    <row r="910" customFormat="false" ht="15.7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</row>
    <row r="911" customFormat="false" ht="15.7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</row>
    <row r="912" customFormat="false" ht="15.7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</row>
    <row r="913" customFormat="false" ht="15.7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</row>
    <row r="914" customFormat="false" ht="15.7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</row>
    <row r="915" customFormat="false" ht="15.7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</row>
    <row r="916" customFormat="false" ht="15.7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</row>
    <row r="917" customFormat="false" ht="15.7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</row>
    <row r="918" customFormat="false" ht="15.7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</row>
    <row r="919" customFormat="false" ht="15.7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</row>
    <row r="920" customFormat="false" ht="15.7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</row>
    <row r="921" customFormat="false" ht="15.7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</row>
    <row r="922" customFormat="false" ht="15.7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</row>
    <row r="923" customFormat="false" ht="15.7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</row>
    <row r="924" customFormat="false" ht="15.7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</row>
    <row r="925" customFormat="false" ht="15.7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</row>
    <row r="926" customFormat="false" ht="15.7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</row>
    <row r="927" customFormat="false" ht="15.7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</row>
    <row r="928" customFormat="false" ht="15.7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</row>
    <row r="929" customFormat="false" ht="15.7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</row>
    <row r="930" customFormat="false" ht="15.7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</row>
    <row r="931" customFormat="false" ht="15.7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</row>
    <row r="932" customFormat="false" ht="15.7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</row>
    <row r="933" customFormat="false" ht="15.7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</row>
    <row r="934" customFormat="false" ht="15.7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</row>
    <row r="935" customFormat="false" ht="15.7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</row>
    <row r="936" customFormat="false" ht="15.7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</row>
    <row r="937" customFormat="false" ht="15.7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</row>
    <row r="938" customFormat="false" ht="15.7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</row>
    <row r="939" customFormat="false" ht="15.7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</row>
    <row r="940" customFormat="false" ht="15.7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</row>
    <row r="941" customFormat="false" ht="15.7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</row>
    <row r="942" customFormat="false" ht="15.7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</row>
    <row r="943" customFormat="false" ht="15.7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</row>
    <row r="944" customFormat="false" ht="15.7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</row>
    <row r="945" customFormat="false" ht="15.7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</row>
    <row r="946" customFormat="false" ht="15.7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</row>
    <row r="947" customFormat="false" ht="15.7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</row>
    <row r="948" customFormat="false" ht="15.7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</row>
    <row r="949" customFormat="false" ht="15.7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</row>
    <row r="950" customFormat="false" ht="15.7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</row>
    <row r="951" customFormat="false" ht="15.7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</row>
    <row r="952" customFormat="false" ht="15.7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</row>
    <row r="953" customFormat="false" ht="15.7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</row>
    <row r="954" customFormat="false" ht="15.7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</row>
    <row r="955" customFormat="false" ht="15.7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</row>
    <row r="956" customFormat="false" ht="15.7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</row>
    <row r="957" customFormat="false" ht="15.7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</row>
    <row r="958" customFormat="false" ht="15.7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</row>
    <row r="959" customFormat="false" ht="15.7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</row>
    <row r="960" customFormat="false" ht="15.7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</row>
    <row r="961" customFormat="false" ht="15.7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</row>
    <row r="962" customFormat="false" ht="15.7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</row>
    <row r="963" customFormat="false" ht="15.7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</row>
    <row r="964" customFormat="false" ht="15.7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</row>
    <row r="965" customFormat="false" ht="15.7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</row>
    <row r="966" customFormat="false" ht="15.7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</row>
    <row r="967" customFormat="false" ht="15.7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</row>
    <row r="968" customFormat="false" ht="15.7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</row>
    <row r="969" customFormat="false" ht="15.7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</row>
    <row r="970" customFormat="false" ht="15.7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</row>
    <row r="971" customFormat="false" ht="15.7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</row>
    <row r="972" customFormat="false" ht="15.7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</row>
    <row r="973" customFormat="false" ht="15.7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</row>
    <row r="974" customFormat="false" ht="15.7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</row>
    <row r="975" customFormat="false" ht="15.7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</row>
    <row r="976" customFormat="false" ht="15.7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</row>
    <row r="977" customFormat="false" ht="15.7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</row>
    <row r="978" customFormat="false" ht="15.7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</row>
    <row r="979" customFormat="false" ht="15.7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</row>
    <row r="980" customFormat="false" ht="15.7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</row>
    <row r="981" customFormat="false" ht="15.7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</row>
    <row r="982" customFormat="false" ht="15.7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</row>
    <row r="983" customFormat="false" ht="15.7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</row>
    <row r="984" customFormat="false" ht="15.7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</row>
    <row r="985" customFormat="false" ht="15.7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</row>
    <row r="986" customFormat="false" ht="15.7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</row>
    <row r="987" customFormat="false" ht="15.7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</row>
    <row r="988" customFormat="false" ht="15.7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</row>
    <row r="989" customFormat="false" ht="15.7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</row>
    <row r="990" customFormat="false" ht="15.7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</row>
    <row r="991" customFormat="false" ht="15.7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</row>
    <row r="992" customFormat="false" ht="15.7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</row>
    <row r="993" customFormat="false" ht="15.7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</row>
    <row r="994" customFormat="false" ht="15.7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</row>
    <row r="995" customFormat="false" ht="15.7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</row>
    <row r="996" customFormat="false" ht="15.7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</row>
    <row r="997" customFormat="false" ht="15.75" hidden="false" customHeight="true" outlineLevel="0" collapsed="false">
      <c r="A997" s="2"/>
      <c r="B997" s="2"/>
      <c r="C997" s="2"/>
      <c r="D997" s="2"/>
      <c r="E997" s="2"/>
      <c r="F997" s="2"/>
      <c r="G997" s="2"/>
      <c r="H997" s="2"/>
    </row>
    <row r="998" customFormat="false" ht="15.75" hidden="false" customHeight="true" outlineLevel="0" collapsed="false">
      <c r="A998" s="2"/>
      <c r="B998" s="2"/>
      <c r="C998" s="2"/>
      <c r="D998" s="2"/>
      <c r="E998" s="2"/>
      <c r="F998" s="2"/>
      <c r="G998" s="2"/>
      <c r="H998" s="2"/>
    </row>
    <row r="999" customFormat="false" ht="15.75" hidden="false" customHeight="true" outlineLevel="0" collapsed="false">
      <c r="A999" s="2"/>
      <c r="B999" s="2"/>
      <c r="C999" s="2"/>
      <c r="D999" s="2"/>
      <c r="E999" s="2"/>
      <c r="F999" s="2"/>
      <c r="G999" s="2"/>
      <c r="H999" s="2"/>
    </row>
    <row r="1000" customFormat="false" ht="15.75" hidden="false" customHeight="true" outlineLevel="0" collapsed="false">
      <c r="A1000" s="2"/>
      <c r="B1000" s="2"/>
      <c r="C1000" s="2"/>
      <c r="D1000" s="2"/>
      <c r="E1000" s="2"/>
      <c r="F1000" s="2"/>
      <c r="G1000" s="2"/>
      <c r="H1000" s="2"/>
    </row>
  </sheetData>
  <mergeCells count="22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25:G25"/>
    <mergeCell ref="B26:H26"/>
    <mergeCell ref="D28:H28"/>
    <mergeCell ref="B32:G32"/>
    <mergeCell ref="B33:G33"/>
    <mergeCell ref="B34:G34"/>
    <mergeCell ref="B36:G36"/>
    <mergeCell ref="B37:G37"/>
    <mergeCell ref="B38:G38"/>
  </mergeCells>
  <conditionalFormatting sqref="H40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  <c r="G1" s="2"/>
      <c r="H1" s="2"/>
    </row>
    <row r="2" customFormat="false" ht="19.7" hidden="false" customHeight="false" outlineLevel="0" collapsed="false">
      <c r="A2" s="2"/>
      <c r="B2" s="3" t="s">
        <v>842</v>
      </c>
      <c r="C2" s="3"/>
      <c r="D2" s="3"/>
      <c r="E2" s="3"/>
      <c r="F2" s="3"/>
      <c r="G2" s="3"/>
      <c r="H2" s="3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true" outlineLevel="0" collapsed="false">
      <c r="A4" s="2"/>
      <c r="B4" s="4" t="s">
        <v>785</v>
      </c>
      <c r="C4" s="5" t="s">
        <v>843</v>
      </c>
      <c r="D4" s="5"/>
      <c r="E4" s="5"/>
      <c r="F4" s="5"/>
      <c r="G4" s="5"/>
      <c r="H4" s="5"/>
    </row>
    <row r="5" customFormat="false" ht="15" hidden="false" customHeight="true" outlineLevel="0" collapsed="false">
      <c r="A5" s="2"/>
      <c r="B5" s="4" t="s">
        <v>787</v>
      </c>
      <c r="C5" s="5" t="s">
        <v>844</v>
      </c>
      <c r="D5" s="5"/>
      <c r="E5" s="5"/>
      <c r="F5" s="5"/>
      <c r="G5" s="5"/>
      <c r="H5" s="5"/>
    </row>
    <row r="6" customFormat="false" ht="15" hidden="false" customHeight="true" outlineLevel="0" collapsed="false">
      <c r="A6" s="2"/>
      <c r="B6" s="4" t="s">
        <v>18</v>
      </c>
      <c r="C6" s="5" t="s">
        <v>826</v>
      </c>
      <c r="D6" s="5"/>
      <c r="E6" s="5"/>
      <c r="F6" s="5"/>
      <c r="G6" s="5"/>
      <c r="H6" s="5"/>
    </row>
    <row r="7" customFormat="false" ht="15" hidden="false" customHeight="true" outlineLevel="0" collapsed="false">
      <c r="A7" s="2"/>
      <c r="B7" s="4" t="s">
        <v>790</v>
      </c>
      <c r="C7" s="5" t="s">
        <v>845</v>
      </c>
      <c r="D7" s="5"/>
      <c r="E7" s="5"/>
      <c r="F7" s="5"/>
      <c r="G7" s="5"/>
      <c r="H7" s="5"/>
    </row>
    <row r="8" customFormat="false" ht="15" hidden="false" customHeight="false" outlineLevel="0" collapsed="false">
      <c r="A8" s="2"/>
      <c r="B8" s="4" t="s">
        <v>792</v>
      </c>
      <c r="C8" s="43" t="n">
        <f aca="false">RINGKASAN!$K$18</f>
        <v>71546115</v>
      </c>
      <c r="D8" s="43"/>
      <c r="E8" s="43"/>
      <c r="F8" s="43"/>
      <c r="G8" s="43"/>
      <c r="H8" s="43"/>
    </row>
    <row r="9" customFormat="false" ht="15" hidden="false" customHeight="true" outlineLevel="0" collapsed="false">
      <c r="A9" s="2"/>
      <c r="B9" s="4" t="s">
        <v>81</v>
      </c>
      <c r="C9" s="5" t="s">
        <v>793</v>
      </c>
      <c r="D9" s="5"/>
      <c r="E9" s="5"/>
      <c r="F9" s="5"/>
      <c r="G9" s="5"/>
      <c r="H9" s="5"/>
    </row>
    <row r="10" customFormat="false" ht="15" hidden="false" customHeight="true" outlineLevel="0" collapsed="false">
      <c r="A10" s="2"/>
      <c r="B10" s="4" t="s">
        <v>9</v>
      </c>
      <c r="C10" s="5" t="s">
        <v>10</v>
      </c>
      <c r="D10" s="5"/>
      <c r="E10" s="5"/>
      <c r="F10" s="5"/>
      <c r="G10" s="5"/>
      <c r="H10" s="5"/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</row>
    <row r="12" customFormat="false" ht="21.75" hidden="false" customHeight="true" outlineLevel="0" collapsed="false">
      <c r="A12" s="2"/>
      <c r="B12" s="15" t="s">
        <v>794</v>
      </c>
      <c r="C12" s="15"/>
      <c r="D12" s="15"/>
      <c r="E12" s="15"/>
      <c r="F12" s="15"/>
      <c r="G12" s="15"/>
      <c r="H12" s="15"/>
    </row>
    <row r="13" customFormat="false" ht="27.75" hidden="false" customHeight="true" outlineLevel="0" collapsed="false">
      <c r="A13" s="2"/>
      <c r="B13" s="7" t="s">
        <v>16</v>
      </c>
      <c r="C13" s="7" t="s">
        <v>795</v>
      </c>
      <c r="D13" s="7" t="s">
        <v>796</v>
      </c>
      <c r="E13" s="7" t="s">
        <v>797</v>
      </c>
      <c r="F13" s="7" t="s">
        <v>89</v>
      </c>
      <c r="G13" s="7" t="s">
        <v>90</v>
      </c>
      <c r="H13" s="7" t="s">
        <v>798</v>
      </c>
    </row>
    <row r="14" customFormat="false" ht="21.75" hidden="false" customHeight="true" outlineLevel="0" collapsed="false">
      <c r="A14" s="2"/>
      <c r="B14" s="33" t="s">
        <v>799</v>
      </c>
      <c r="C14" s="34" t="s">
        <v>800</v>
      </c>
      <c r="D14" s="35"/>
      <c r="E14" s="35"/>
      <c r="F14" s="35"/>
      <c r="G14" s="35"/>
      <c r="H14" s="35"/>
    </row>
    <row r="15" customFormat="false" ht="36" hidden="false" customHeight="true" outlineLevel="0" collapsed="false">
      <c r="A15" s="2"/>
      <c r="B15" s="9" t="s">
        <v>801</v>
      </c>
      <c r="C15" s="17" t="s">
        <v>104</v>
      </c>
      <c r="D15" s="36" t="n">
        <v>25</v>
      </c>
      <c r="E15" s="36" t="n">
        <v>25</v>
      </c>
      <c r="F15" s="18" t="s">
        <v>94</v>
      </c>
      <c r="G15" s="8" t="n">
        <f aca="false">'Master of Price'!$G$17</f>
        <v>352000</v>
      </c>
      <c r="H15" s="8" t="n">
        <f aca="false">E15*G15</f>
        <v>8800000</v>
      </c>
    </row>
    <row r="16" customFormat="false" ht="27.75" hidden="false" customHeight="true" outlineLevel="0" collapsed="false">
      <c r="A16" s="2"/>
      <c r="B16" s="9" t="s">
        <v>802</v>
      </c>
      <c r="C16" s="17" t="s">
        <v>96</v>
      </c>
      <c r="D16" s="36" t="n">
        <v>25</v>
      </c>
      <c r="E16" s="36" t="n">
        <v>25</v>
      </c>
      <c r="F16" s="18" t="s">
        <v>94</v>
      </c>
      <c r="G16" s="8" t="n">
        <f aca="false">'Master of Price'!$G$13</f>
        <v>100000</v>
      </c>
      <c r="H16" s="8" t="n">
        <f aca="false">E16*G16</f>
        <v>2500000</v>
      </c>
    </row>
    <row r="17" customFormat="false" ht="27.75" hidden="false" customHeight="true" outlineLevel="0" collapsed="false">
      <c r="A17" s="2"/>
      <c r="B17" s="9" t="s">
        <v>803</v>
      </c>
      <c r="C17" s="17" t="s">
        <v>98</v>
      </c>
      <c r="D17" s="36" t="n">
        <v>25</v>
      </c>
      <c r="E17" s="36" t="n">
        <v>25</v>
      </c>
      <c r="F17" s="18" t="s">
        <v>94</v>
      </c>
      <c r="G17" s="8" t="n">
        <f aca="false">'Master of Price'!$G$14</f>
        <v>28000</v>
      </c>
      <c r="H17" s="8" t="n">
        <f aca="false">E17*G17</f>
        <v>700000</v>
      </c>
    </row>
    <row r="18" customFormat="false" ht="27.75" hidden="false" customHeight="true" outlineLevel="0" collapsed="false">
      <c r="A18" s="2"/>
      <c r="B18" s="9" t="s">
        <v>804</v>
      </c>
      <c r="C18" s="17" t="s">
        <v>100</v>
      </c>
      <c r="D18" s="36" t="n">
        <v>25</v>
      </c>
      <c r="E18" s="36" t="n">
        <v>25</v>
      </c>
      <c r="F18" s="18" t="s">
        <v>94</v>
      </c>
      <c r="G18" s="8" t="n">
        <f aca="false">'Master of Price'!$G$15</f>
        <v>45000</v>
      </c>
      <c r="H18" s="8" t="n">
        <f aca="false">E18*G18</f>
        <v>1125000</v>
      </c>
    </row>
    <row r="19" customFormat="false" ht="27.75" hidden="false" customHeight="true" outlineLevel="0" collapsed="false">
      <c r="A19" s="2"/>
      <c r="B19" s="9" t="s">
        <v>805</v>
      </c>
      <c r="C19" s="17" t="s">
        <v>102</v>
      </c>
      <c r="D19" s="36" t="n">
        <v>25</v>
      </c>
      <c r="E19" s="36" t="n">
        <v>25</v>
      </c>
      <c r="F19" s="18" t="s">
        <v>94</v>
      </c>
      <c r="G19" s="8" t="n">
        <f aca="false">'Master of Price'!$G$16</f>
        <v>75000</v>
      </c>
      <c r="H19" s="8" t="n">
        <f aca="false">E19*G19</f>
        <v>1875000</v>
      </c>
    </row>
    <row r="20" customFormat="false" ht="25.5" hidden="false" customHeight="true" outlineLevel="0" collapsed="false">
      <c r="A20" s="2"/>
      <c r="B20" s="23" t="s">
        <v>806</v>
      </c>
      <c r="C20" s="23"/>
      <c r="D20" s="23"/>
      <c r="E20" s="23"/>
      <c r="F20" s="23"/>
      <c r="G20" s="23"/>
      <c r="H20" s="11" t="n">
        <f aca="false">SUM(H15:H19)</f>
        <v>15000000</v>
      </c>
    </row>
    <row r="21" customFormat="false" ht="21.75" hidden="false" customHeight="true" outlineLevel="0" collapsed="false">
      <c r="A21" s="2"/>
      <c r="B21" s="15" t="s">
        <v>807</v>
      </c>
      <c r="C21" s="15"/>
      <c r="D21" s="15"/>
      <c r="E21" s="15"/>
      <c r="F21" s="15"/>
      <c r="G21" s="15"/>
      <c r="H21" s="15"/>
    </row>
    <row r="22" customFormat="false" ht="27.75" hidden="false" customHeight="true" outlineLevel="0" collapsed="false">
      <c r="A22" s="2"/>
      <c r="B22" s="7" t="s">
        <v>16</v>
      </c>
      <c r="C22" s="7" t="s">
        <v>795</v>
      </c>
      <c r="D22" s="7" t="s">
        <v>796</v>
      </c>
      <c r="E22" s="7" t="s">
        <v>797</v>
      </c>
      <c r="F22" s="7" t="s">
        <v>89</v>
      </c>
      <c r="G22" s="7" t="s">
        <v>90</v>
      </c>
      <c r="H22" s="7" t="s">
        <v>798</v>
      </c>
    </row>
    <row r="23" customFormat="false" ht="21.75" hidden="false" customHeight="true" outlineLevel="0" collapsed="false">
      <c r="A23" s="2"/>
      <c r="B23" s="33" t="s">
        <v>808</v>
      </c>
      <c r="C23" s="34" t="s">
        <v>809</v>
      </c>
      <c r="D23" s="35"/>
      <c r="E23" s="35"/>
      <c r="F23" s="35"/>
      <c r="G23" s="35"/>
      <c r="H23" s="35"/>
    </row>
    <row r="24" customFormat="false" ht="27.75" hidden="false" customHeight="true" outlineLevel="0" collapsed="false">
      <c r="A24" s="2"/>
      <c r="B24" s="9" t="s">
        <v>810</v>
      </c>
      <c r="C24" s="17" t="s">
        <v>116</v>
      </c>
      <c r="D24" s="36" t="n">
        <v>5.07</v>
      </c>
      <c r="E24" s="36" t="n">
        <v>5.07</v>
      </c>
      <c r="F24" s="18" t="s">
        <v>114</v>
      </c>
      <c r="G24" s="8" t="n">
        <f aca="false">'Master of Price'!$G$22</f>
        <v>47500</v>
      </c>
      <c r="H24" s="8" t="n">
        <f aca="false">E24*G24</f>
        <v>240825</v>
      </c>
    </row>
    <row r="25" customFormat="false" ht="21.75" hidden="false" customHeight="true" outlineLevel="0" collapsed="false">
      <c r="A25" s="2"/>
      <c r="B25" s="9" t="s">
        <v>828</v>
      </c>
      <c r="C25" s="17" t="s">
        <v>118</v>
      </c>
      <c r="D25" s="36" t="n">
        <v>0.39</v>
      </c>
      <c r="E25" s="36" t="n">
        <v>0.39</v>
      </c>
      <c r="F25" s="18" t="s">
        <v>114</v>
      </c>
      <c r="G25" s="8" t="n">
        <f aca="false">'Master of Price'!$G$23</f>
        <v>90000</v>
      </c>
      <c r="H25" s="8" t="n">
        <f aca="false">E25*G25</f>
        <v>35100</v>
      </c>
    </row>
    <row r="26" customFormat="false" ht="21.75" hidden="false" customHeight="true" outlineLevel="0" collapsed="false">
      <c r="A26" s="2"/>
      <c r="B26" s="9" t="s">
        <v>829</v>
      </c>
      <c r="C26" s="17" t="s">
        <v>120</v>
      </c>
      <c r="D26" s="36" t="n">
        <v>0.08</v>
      </c>
      <c r="E26" s="36" t="n">
        <v>0.08</v>
      </c>
      <c r="F26" s="18" t="s">
        <v>114</v>
      </c>
      <c r="G26" s="8" t="n">
        <f aca="false">'Master of Price'!$G$24</f>
        <v>130000</v>
      </c>
      <c r="H26" s="8" t="n">
        <f aca="false">E26*G26</f>
        <v>10400</v>
      </c>
    </row>
    <row r="27" customFormat="false" ht="27.75" hidden="false" customHeight="true" outlineLevel="0" collapsed="false">
      <c r="A27" s="2"/>
      <c r="B27" s="9" t="s">
        <v>830</v>
      </c>
      <c r="C27" s="17" t="s">
        <v>122</v>
      </c>
      <c r="D27" s="36" t="n">
        <v>3.9</v>
      </c>
      <c r="E27" s="36" t="n">
        <v>3.9</v>
      </c>
      <c r="F27" s="18" t="s">
        <v>114</v>
      </c>
      <c r="G27" s="8" t="n">
        <f aca="false">'Master of Price'!$G$25</f>
        <v>700000</v>
      </c>
      <c r="H27" s="8" t="n">
        <f aca="false">E27*G27</f>
        <v>2730000</v>
      </c>
    </row>
    <row r="28" customFormat="false" ht="36" hidden="false" customHeight="true" outlineLevel="0" collapsed="false">
      <c r="A28" s="2"/>
      <c r="B28" s="9" t="s">
        <v>831</v>
      </c>
      <c r="C28" s="17" t="s">
        <v>124</v>
      </c>
      <c r="D28" s="36" t="n">
        <v>0.975</v>
      </c>
      <c r="E28" s="36" t="n">
        <v>0.975</v>
      </c>
      <c r="F28" s="18" t="s">
        <v>114</v>
      </c>
      <c r="G28" s="8" t="n">
        <f aca="false">'Master of Price'!$G$26</f>
        <v>1000000</v>
      </c>
      <c r="H28" s="8" t="n">
        <f aca="false">E28*G28</f>
        <v>975000</v>
      </c>
    </row>
    <row r="29" customFormat="false" ht="36" hidden="false" customHeight="true" outlineLevel="0" collapsed="false">
      <c r="A29" s="2"/>
      <c r="B29" s="9" t="s">
        <v>832</v>
      </c>
      <c r="C29" s="17" t="s">
        <v>113</v>
      </c>
      <c r="D29" s="36" t="n">
        <v>0.1</v>
      </c>
      <c r="E29" s="36" t="n">
        <v>0.1</v>
      </c>
      <c r="F29" s="18" t="s">
        <v>114</v>
      </c>
      <c r="G29" s="8" t="n">
        <f aca="false">'Master of Price'!$G$21</f>
        <v>1000000</v>
      </c>
      <c r="H29" s="8" t="n">
        <f aca="false">E29*G29</f>
        <v>100000</v>
      </c>
    </row>
    <row r="30" customFormat="false" ht="36" hidden="false" customHeight="true" outlineLevel="0" collapsed="false">
      <c r="A30" s="2"/>
      <c r="B30" s="9" t="s">
        <v>833</v>
      </c>
      <c r="C30" s="17" t="s">
        <v>128</v>
      </c>
      <c r="D30" s="36" t="n">
        <v>1</v>
      </c>
      <c r="E30" s="36" t="n">
        <v>1</v>
      </c>
      <c r="F30" s="18" t="s">
        <v>129</v>
      </c>
      <c r="G30" s="8" t="n">
        <f aca="false">'Master of Price'!$G$28</f>
        <v>4500000</v>
      </c>
      <c r="H30" s="8" t="n">
        <f aca="false">E30*G30</f>
        <v>4500000</v>
      </c>
    </row>
    <row r="31" customFormat="false" ht="25.5" hidden="false" customHeight="true" outlineLevel="0" collapsed="false">
      <c r="A31" s="2"/>
      <c r="B31" s="23" t="s">
        <v>811</v>
      </c>
      <c r="C31" s="23"/>
      <c r="D31" s="23"/>
      <c r="E31" s="23"/>
      <c r="F31" s="23"/>
      <c r="G31" s="23"/>
      <c r="H31" s="11" t="n">
        <f aca="false">SUM(H24:H30)</f>
        <v>8591325</v>
      </c>
    </row>
    <row r="32" customFormat="false" ht="21.75" hidden="false" customHeight="true" outlineLevel="0" collapsed="false">
      <c r="A32" s="2"/>
      <c r="B32" s="15" t="s">
        <v>834</v>
      </c>
      <c r="C32" s="15"/>
      <c r="D32" s="15"/>
      <c r="E32" s="15"/>
      <c r="F32" s="15"/>
      <c r="G32" s="15"/>
      <c r="H32" s="15"/>
    </row>
    <row r="33" customFormat="false" ht="27.75" hidden="false" customHeight="true" outlineLevel="0" collapsed="false">
      <c r="A33" s="2"/>
      <c r="B33" s="7" t="s">
        <v>16</v>
      </c>
      <c r="C33" s="7" t="s">
        <v>795</v>
      </c>
      <c r="D33" s="7" t="s">
        <v>796</v>
      </c>
      <c r="E33" s="7" t="s">
        <v>797</v>
      </c>
      <c r="F33" s="7" t="s">
        <v>89</v>
      </c>
      <c r="G33" s="7" t="s">
        <v>90</v>
      </c>
      <c r="H33" s="7" t="s">
        <v>798</v>
      </c>
    </row>
    <row r="34" customFormat="false" ht="21.75" hidden="false" customHeight="true" outlineLevel="0" collapsed="false">
      <c r="A34" s="2"/>
      <c r="B34" s="33" t="s">
        <v>813</v>
      </c>
      <c r="C34" s="34" t="s">
        <v>835</v>
      </c>
      <c r="D34" s="35"/>
      <c r="E34" s="35"/>
      <c r="F34" s="35"/>
      <c r="G34" s="35"/>
      <c r="H34" s="35"/>
    </row>
    <row r="35" customFormat="false" ht="36" hidden="false" customHeight="true" outlineLevel="0" collapsed="false">
      <c r="A35" s="2"/>
      <c r="B35" s="9" t="s">
        <v>815</v>
      </c>
      <c r="C35" s="17" t="s">
        <v>132</v>
      </c>
      <c r="D35" s="36" t="n">
        <v>1</v>
      </c>
      <c r="E35" s="36" t="n">
        <v>1</v>
      </c>
      <c r="F35" s="18" t="s">
        <v>133</v>
      </c>
      <c r="G35" s="8" t="n">
        <f aca="false">'Master of Price'!$G$29</f>
        <v>24000000</v>
      </c>
      <c r="H35" s="8" t="n">
        <f aca="false">E35*G35</f>
        <v>24000000</v>
      </c>
    </row>
    <row r="36" customFormat="false" ht="27.75" hidden="false" customHeight="true" outlineLevel="0" collapsed="false">
      <c r="A36" s="2"/>
      <c r="B36" s="9" t="s">
        <v>816</v>
      </c>
      <c r="C36" s="17" t="s">
        <v>135</v>
      </c>
      <c r="D36" s="36" t="n">
        <v>1</v>
      </c>
      <c r="E36" s="36" t="n">
        <v>1</v>
      </c>
      <c r="F36" s="18" t="s">
        <v>136</v>
      </c>
      <c r="G36" s="8" t="n">
        <f aca="false">'Master of Price'!$G$30</f>
        <v>1500000</v>
      </c>
      <c r="H36" s="8" t="n">
        <f aca="false">E36*G36</f>
        <v>1500000</v>
      </c>
    </row>
    <row r="37" customFormat="false" ht="36" hidden="false" customHeight="true" outlineLevel="0" collapsed="false">
      <c r="A37" s="2"/>
      <c r="B37" s="9" t="s">
        <v>836</v>
      </c>
      <c r="C37" s="17" t="s">
        <v>138</v>
      </c>
      <c r="D37" s="36" t="n">
        <v>5</v>
      </c>
      <c r="E37" s="36" t="n">
        <v>5</v>
      </c>
      <c r="F37" s="18" t="s">
        <v>133</v>
      </c>
      <c r="G37" s="8" t="n">
        <f aca="false">'Master of Price'!$G$31</f>
        <v>2100000</v>
      </c>
      <c r="H37" s="8" t="n">
        <f aca="false">E37*G37</f>
        <v>10500000</v>
      </c>
    </row>
    <row r="38" customFormat="false" ht="36" hidden="false" customHeight="true" outlineLevel="0" collapsed="false">
      <c r="A38" s="2"/>
      <c r="B38" s="9" t="s">
        <v>837</v>
      </c>
      <c r="C38" s="17" t="s">
        <v>140</v>
      </c>
      <c r="D38" s="36" t="n">
        <v>1</v>
      </c>
      <c r="E38" s="36" t="n">
        <v>1</v>
      </c>
      <c r="F38" s="18" t="s">
        <v>136</v>
      </c>
      <c r="G38" s="8" t="n">
        <f aca="false">'Master of Price'!$G$32</f>
        <v>2500000</v>
      </c>
      <c r="H38" s="8" t="n">
        <f aca="false">E38*G38</f>
        <v>2500000</v>
      </c>
    </row>
    <row r="39" customFormat="false" ht="25.5" hidden="false" customHeight="true" outlineLevel="0" collapsed="false">
      <c r="A39" s="2"/>
      <c r="B39" s="23" t="s">
        <v>838</v>
      </c>
      <c r="C39" s="23"/>
      <c r="D39" s="23"/>
      <c r="E39" s="23"/>
      <c r="F39" s="23"/>
      <c r="G39" s="23"/>
      <c r="H39" s="11" t="n">
        <f aca="false">SUM(H35:H38)</f>
        <v>38500000</v>
      </c>
    </row>
    <row r="40" customFormat="false" ht="21.75" hidden="false" customHeight="true" outlineLevel="0" collapsed="false">
      <c r="A40" s="2"/>
      <c r="B40" s="37" t="s">
        <v>818</v>
      </c>
      <c r="C40" s="37"/>
      <c r="D40" s="37"/>
      <c r="E40" s="37"/>
      <c r="F40" s="37"/>
      <c r="G40" s="37"/>
      <c r="H40" s="38" t="n">
        <f aca="false">H43-(H20+H31+H39)</f>
        <v>9454790</v>
      </c>
    </row>
    <row r="41" customFormat="false" ht="27.75" hidden="false" customHeight="true" outlineLevel="0" collapsed="false">
      <c r="A41" s="2"/>
      <c r="B41" s="10" t="s">
        <v>819</v>
      </c>
      <c r="C41" s="10"/>
      <c r="D41" s="10"/>
      <c r="E41" s="10"/>
      <c r="F41" s="10"/>
      <c r="G41" s="10"/>
      <c r="H41" s="39" t="n">
        <f aca="false">H20+H31+H39+H40</f>
        <v>71546115</v>
      </c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</row>
    <row r="43" customFormat="false" ht="21.75" hidden="false" customHeight="true" outlineLevel="0" collapsed="false">
      <c r="A43" s="2"/>
      <c r="B43" s="21" t="s">
        <v>820</v>
      </c>
      <c r="C43" s="21"/>
      <c r="D43" s="21"/>
      <c r="E43" s="21"/>
      <c r="F43" s="21"/>
      <c r="G43" s="21"/>
      <c r="H43" s="40" t="n">
        <f aca="false">RINGKASAN!$K$18</f>
        <v>71546115</v>
      </c>
    </row>
    <row r="44" customFormat="false" ht="21.75" hidden="false" customHeight="true" outlineLevel="0" collapsed="false">
      <c r="A44" s="2"/>
      <c r="B44" s="41" t="s">
        <v>821</v>
      </c>
      <c r="C44" s="41"/>
      <c r="D44" s="41"/>
      <c r="E44" s="41"/>
      <c r="F44" s="41"/>
      <c r="G44" s="41"/>
      <c r="H44" s="8" t="n">
        <f aca="false">H41-H43</f>
        <v>0</v>
      </c>
    </row>
    <row r="45" customFormat="false" ht="21.75" hidden="false" customHeight="true" outlineLevel="0" collapsed="false">
      <c r="A45" s="2"/>
      <c r="B45" s="42" t="s">
        <v>822</v>
      </c>
      <c r="C45" s="42"/>
      <c r="D45" s="42"/>
      <c r="E45" s="42"/>
      <c r="F45" s="42"/>
      <c r="G45" s="42"/>
      <c r="H45" s="37" t="str">
        <f aca="false">IF(H40&lt;0,"OVER BUDGET","OK")</f>
        <v>OK</v>
      </c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</row>
    <row r="61" customFormat="false" ht="15" hidden="false" customHeight="false" outlineLevel="0" collapsed="false">
      <c r="A61" s="2"/>
      <c r="B61" s="2"/>
      <c r="C61" s="2"/>
      <c r="D61" s="2"/>
      <c r="E61" s="2"/>
      <c r="F61" s="2"/>
      <c r="G61" s="2"/>
      <c r="H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  <c r="G62" s="2"/>
      <c r="H62" s="2"/>
    </row>
    <row r="63" customFormat="false" ht="15" hidden="false" customHeight="false" outlineLevel="0" collapsed="false">
      <c r="A63" s="2"/>
      <c r="B63" s="2"/>
      <c r="C63" s="2"/>
      <c r="D63" s="2"/>
      <c r="E63" s="2"/>
      <c r="F63" s="2"/>
      <c r="G63" s="2"/>
      <c r="H63" s="2"/>
    </row>
    <row r="64" customFormat="false" ht="15" hidden="false" customHeight="false" outlineLevel="0" collapsed="false">
      <c r="A64" s="2"/>
      <c r="B64" s="2"/>
      <c r="C64" s="2"/>
      <c r="D64" s="2"/>
      <c r="E64" s="2"/>
      <c r="F64" s="2"/>
      <c r="G64" s="2"/>
      <c r="H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</row>
    <row r="66" customFormat="false" ht="15" hidden="false" customHeight="false" outlineLevel="0" collapsed="false">
      <c r="A66" s="2"/>
      <c r="B66" s="2"/>
      <c r="C66" s="2"/>
      <c r="D66" s="2"/>
      <c r="E66" s="2"/>
      <c r="F66" s="2"/>
      <c r="G66" s="2"/>
      <c r="H66" s="2"/>
    </row>
    <row r="67" customFormat="false" ht="15" hidden="false" customHeight="false" outlineLevel="0" collapsed="false">
      <c r="A67" s="2"/>
      <c r="B67" s="2"/>
      <c r="C67" s="2"/>
      <c r="D67" s="2"/>
      <c r="E67" s="2"/>
      <c r="F67" s="2"/>
      <c r="G67" s="2"/>
      <c r="H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"/>
      <c r="H70" s="2"/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</row>
    <row r="250" customFormat="false" ht="15.7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</row>
    <row r="251" customFormat="false" ht="15.7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</row>
    <row r="252" customFormat="false" ht="15.7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</row>
    <row r="253" customFormat="false" ht="15.7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</row>
    <row r="254" customFormat="false" ht="15.7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</row>
    <row r="255" customFormat="false" ht="15.7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</row>
    <row r="256" customFormat="false" ht="15.7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</row>
    <row r="257" customFormat="false" ht="15.7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</row>
    <row r="258" customFormat="false" ht="15.7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</row>
    <row r="259" customFormat="false" ht="15.7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</row>
    <row r="260" customFormat="false" ht="15.7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</row>
    <row r="261" customFormat="false" ht="15.7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</row>
    <row r="262" customFormat="false" ht="15.7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</row>
    <row r="263" customFormat="false" ht="15.7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</row>
    <row r="264" customFormat="false" ht="15.7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</row>
    <row r="265" customFormat="false" ht="15.7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</row>
    <row r="266" customFormat="false" ht="15.7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</row>
    <row r="267" customFormat="false" ht="15.7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</row>
    <row r="268" customFormat="false" ht="15.7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</row>
    <row r="269" customFormat="false" ht="15.7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</row>
    <row r="270" customFormat="false" ht="15.7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</row>
    <row r="271" customFormat="false" ht="15.7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</row>
    <row r="272" customFormat="false" ht="15.7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</row>
    <row r="273" customFormat="false" ht="15.7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</row>
    <row r="274" customFormat="false" ht="15.7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</row>
    <row r="275" customFormat="false" ht="15.7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</row>
    <row r="276" customFormat="false" ht="15.7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</row>
    <row r="277" customFormat="false" ht="15.7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</row>
    <row r="278" customFormat="false" ht="15.7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</row>
    <row r="279" customFormat="false" ht="15.7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</row>
    <row r="280" customFormat="false" ht="15.7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</row>
    <row r="281" customFormat="false" ht="15.7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</row>
    <row r="282" customFormat="false" ht="15.7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</row>
    <row r="283" customFormat="false" ht="15.7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</row>
    <row r="284" customFormat="false" ht="15.7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</row>
    <row r="285" customFormat="false" ht="15.7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</row>
    <row r="286" customFormat="false" ht="15.7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</row>
    <row r="287" customFormat="false" ht="15.7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</row>
    <row r="288" customFormat="false" ht="15.7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</row>
    <row r="289" customFormat="false" ht="15.7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</row>
    <row r="290" customFormat="false" ht="15.7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</row>
    <row r="291" customFormat="false" ht="15.7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</row>
    <row r="292" customFormat="false" ht="15.7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</row>
    <row r="293" customFormat="false" ht="15.7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</row>
    <row r="294" customFormat="false" ht="15.7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</row>
    <row r="295" customFormat="false" ht="15.7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</row>
    <row r="296" customFormat="false" ht="15.7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</row>
    <row r="297" customFormat="false" ht="15.7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</row>
    <row r="298" customFormat="false" ht="15.7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</row>
    <row r="299" customFormat="false" ht="15.7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</row>
    <row r="300" customFormat="false" ht="15.7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</row>
    <row r="301" customFormat="false" ht="15.7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</row>
    <row r="302" customFormat="false" ht="15.7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</row>
    <row r="303" customFormat="false" ht="15.7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</row>
    <row r="304" customFormat="false" ht="15.7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</row>
    <row r="305" customFormat="false" ht="15.7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</row>
    <row r="306" customFormat="false" ht="15.7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</row>
    <row r="307" customFormat="false" ht="15.7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</row>
    <row r="308" customFormat="false" ht="15.7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</row>
    <row r="309" customFormat="false" ht="15.7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</row>
    <row r="310" customFormat="false" ht="15.7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</row>
    <row r="311" customFormat="false" ht="15.7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</row>
    <row r="312" customFormat="false" ht="15.7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</row>
    <row r="313" customFormat="false" ht="15.7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</row>
    <row r="314" customFormat="false" ht="15.7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</row>
    <row r="315" customFormat="false" ht="15.7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</row>
    <row r="316" customFormat="false" ht="15.7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</row>
    <row r="317" customFormat="false" ht="15.7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</row>
    <row r="318" customFormat="false" ht="15.7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</row>
    <row r="319" customFormat="false" ht="15.7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</row>
    <row r="320" customFormat="false" ht="15.7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</row>
    <row r="321" customFormat="false" ht="15.7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</row>
    <row r="322" customFormat="false" ht="15.7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</row>
    <row r="323" customFormat="false" ht="15.7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</row>
    <row r="324" customFormat="false" ht="15.7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</row>
    <row r="325" customFormat="false" ht="15.7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</row>
    <row r="326" customFormat="false" ht="15.7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</row>
    <row r="327" customFormat="false" ht="15.7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</row>
    <row r="328" customFormat="false" ht="15.7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</row>
    <row r="329" customFormat="false" ht="15.7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</row>
    <row r="330" customFormat="false" ht="15.7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</row>
    <row r="331" customFormat="false" ht="15.7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</row>
    <row r="332" customFormat="false" ht="15.7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</row>
    <row r="333" customFormat="false" ht="15.7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</row>
    <row r="334" customFormat="false" ht="15.7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</row>
    <row r="335" customFormat="false" ht="15.7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</row>
    <row r="336" customFormat="false" ht="15.7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</row>
    <row r="337" customFormat="false" ht="15.7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</row>
    <row r="338" customFormat="false" ht="15.7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</row>
    <row r="339" customFormat="false" ht="15.7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</row>
    <row r="340" customFormat="false" ht="15.7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</row>
    <row r="341" customFormat="false" ht="15.7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</row>
    <row r="342" customFormat="false" ht="15.7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</row>
    <row r="343" customFormat="false" ht="15.7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</row>
    <row r="344" customFormat="false" ht="15.7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</row>
    <row r="345" customFormat="false" ht="15.7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</row>
    <row r="346" customFormat="false" ht="15.7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</row>
    <row r="347" customFormat="false" ht="15.7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</row>
    <row r="348" customFormat="false" ht="15.7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</row>
    <row r="349" customFormat="false" ht="15.7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</row>
    <row r="350" customFormat="false" ht="15.7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</row>
    <row r="351" customFormat="false" ht="15.7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</row>
    <row r="352" customFormat="false" ht="15.7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</row>
    <row r="353" customFormat="false" ht="15.7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</row>
    <row r="354" customFormat="false" ht="15.7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</row>
    <row r="355" customFormat="false" ht="15.7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</row>
    <row r="356" customFormat="false" ht="15.7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</row>
    <row r="357" customFormat="false" ht="15.7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</row>
    <row r="358" customFormat="false" ht="15.7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</row>
    <row r="359" customFormat="false" ht="15.7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</row>
    <row r="360" customFormat="false" ht="15.7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</row>
    <row r="361" customFormat="false" ht="15.7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</row>
    <row r="362" customFormat="false" ht="15.7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</row>
    <row r="363" customFormat="false" ht="15.7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</row>
    <row r="364" customFormat="false" ht="15.7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</row>
    <row r="365" customFormat="false" ht="15.7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</row>
    <row r="366" customFormat="false" ht="15.7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</row>
    <row r="367" customFormat="false" ht="15.7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</row>
    <row r="368" customFormat="false" ht="15.7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</row>
    <row r="369" customFormat="false" ht="15.7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</row>
    <row r="370" customFormat="false" ht="15.7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</row>
    <row r="371" customFormat="false" ht="15.7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</row>
    <row r="372" customFormat="false" ht="15.7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</row>
    <row r="373" customFormat="false" ht="15.7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</row>
    <row r="374" customFormat="false" ht="15.7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</row>
    <row r="375" customFormat="false" ht="15.7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</row>
    <row r="376" customFormat="false" ht="15.7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</row>
    <row r="377" customFormat="false" ht="15.7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</row>
    <row r="378" customFormat="false" ht="15.7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</row>
    <row r="379" customFormat="false" ht="15.7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</row>
    <row r="380" customFormat="false" ht="15.7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</row>
    <row r="381" customFormat="false" ht="15.7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</row>
    <row r="382" customFormat="false" ht="15.7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</row>
    <row r="383" customFormat="false" ht="15.7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</row>
    <row r="384" customFormat="false" ht="15.7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</row>
    <row r="385" customFormat="false" ht="15.7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</row>
    <row r="386" customFormat="false" ht="15.7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</row>
    <row r="387" customFormat="false" ht="15.7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</row>
    <row r="388" customFormat="false" ht="15.7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</row>
    <row r="389" customFormat="false" ht="15.7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</row>
    <row r="390" customFormat="false" ht="15.7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</row>
    <row r="391" customFormat="false" ht="15.7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</row>
    <row r="392" customFormat="false" ht="15.7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</row>
    <row r="393" customFormat="false" ht="15.7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</row>
    <row r="394" customFormat="false" ht="15.7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</row>
    <row r="395" customFormat="false" ht="15.7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</row>
    <row r="396" customFormat="false" ht="15.7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</row>
    <row r="397" customFormat="false" ht="15.7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</row>
    <row r="398" customFormat="false" ht="15.7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</row>
    <row r="399" customFormat="false" ht="15.7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</row>
    <row r="400" customFormat="false" ht="15.7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</row>
    <row r="401" customFormat="false" ht="15.7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</row>
    <row r="402" customFormat="false" ht="15.7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</row>
    <row r="403" customFormat="false" ht="15.7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</row>
    <row r="404" customFormat="false" ht="15.7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</row>
    <row r="405" customFormat="false" ht="15.7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</row>
    <row r="406" customFormat="false" ht="15.7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</row>
    <row r="407" customFormat="false" ht="15.7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</row>
    <row r="408" customFormat="false" ht="15.7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</row>
    <row r="409" customFormat="false" ht="15.7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</row>
    <row r="410" customFormat="false" ht="15.7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</row>
    <row r="411" customFormat="false" ht="15.7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</row>
    <row r="412" customFormat="false" ht="15.7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</row>
    <row r="413" customFormat="false" ht="15.7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</row>
    <row r="414" customFormat="false" ht="15.7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</row>
    <row r="415" customFormat="false" ht="15.7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</row>
    <row r="416" customFormat="false" ht="15.7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</row>
    <row r="417" customFormat="false" ht="15.7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</row>
    <row r="418" customFormat="false" ht="15.7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</row>
    <row r="419" customFormat="false" ht="15.7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</row>
    <row r="420" customFormat="false" ht="15.7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</row>
    <row r="421" customFormat="false" ht="15.7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</row>
    <row r="422" customFormat="false" ht="15.7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</row>
    <row r="423" customFormat="false" ht="15.7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</row>
    <row r="424" customFormat="false" ht="15.7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</row>
    <row r="425" customFormat="false" ht="15.7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</row>
    <row r="426" customFormat="false" ht="15.7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</row>
    <row r="427" customFormat="false" ht="15.7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</row>
    <row r="428" customFormat="false" ht="15.7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</row>
    <row r="429" customFormat="false" ht="15.7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</row>
    <row r="430" customFormat="false" ht="15.7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</row>
    <row r="431" customFormat="false" ht="15.7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</row>
    <row r="432" customFormat="false" ht="15.7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</row>
    <row r="433" customFormat="false" ht="15.7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</row>
    <row r="434" customFormat="false" ht="15.7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</row>
    <row r="435" customFormat="false" ht="15.7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</row>
    <row r="436" customFormat="false" ht="15.7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</row>
    <row r="437" customFormat="false" ht="15.7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</row>
    <row r="438" customFormat="false" ht="15.7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</row>
    <row r="439" customFormat="false" ht="15.7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</row>
    <row r="440" customFormat="false" ht="15.7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</row>
    <row r="441" customFormat="false" ht="15.7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</row>
    <row r="442" customFormat="false" ht="15.7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</row>
    <row r="443" customFormat="false" ht="15.7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</row>
    <row r="444" customFormat="false" ht="15.7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</row>
    <row r="445" customFormat="false" ht="15.7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</row>
    <row r="446" customFormat="false" ht="15.7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</row>
    <row r="447" customFormat="false" ht="15.7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</row>
    <row r="448" customFormat="false" ht="15.7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</row>
    <row r="449" customFormat="false" ht="15.7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</row>
    <row r="450" customFormat="false" ht="15.7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</row>
    <row r="451" customFormat="false" ht="15.7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</row>
    <row r="452" customFormat="false" ht="15.7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</row>
    <row r="453" customFormat="false" ht="15.7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</row>
    <row r="454" customFormat="false" ht="15.7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</row>
    <row r="455" customFormat="false" ht="15.7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</row>
    <row r="456" customFormat="false" ht="15.7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</row>
    <row r="457" customFormat="false" ht="15.7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</row>
    <row r="458" customFormat="false" ht="15.7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</row>
    <row r="459" customFormat="false" ht="15.7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</row>
    <row r="460" customFormat="false" ht="15.7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</row>
    <row r="461" customFormat="false" ht="15.7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</row>
    <row r="462" customFormat="false" ht="15.7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</row>
    <row r="463" customFormat="false" ht="15.7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</row>
    <row r="464" customFormat="false" ht="15.7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</row>
    <row r="465" customFormat="false" ht="15.7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</row>
    <row r="466" customFormat="false" ht="15.7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</row>
    <row r="467" customFormat="false" ht="15.7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</row>
    <row r="468" customFormat="false" ht="15.7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</row>
    <row r="469" customFormat="false" ht="15.7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</row>
    <row r="470" customFormat="false" ht="15.7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</row>
    <row r="471" customFormat="false" ht="15.7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</row>
    <row r="472" customFormat="false" ht="15.7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</row>
    <row r="473" customFormat="false" ht="15.7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</row>
    <row r="474" customFormat="false" ht="15.7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</row>
    <row r="475" customFormat="false" ht="15.7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</row>
    <row r="476" customFormat="false" ht="15.7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</row>
    <row r="477" customFormat="false" ht="15.7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</row>
    <row r="478" customFormat="false" ht="15.7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</row>
    <row r="479" customFormat="false" ht="15.7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</row>
    <row r="480" customFormat="false" ht="15.7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</row>
    <row r="481" customFormat="false" ht="15.7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</row>
    <row r="482" customFormat="false" ht="15.7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</row>
    <row r="483" customFormat="false" ht="15.7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</row>
    <row r="484" customFormat="false" ht="15.7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</row>
    <row r="485" customFormat="false" ht="15.7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</row>
    <row r="486" customFormat="false" ht="15.7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</row>
    <row r="487" customFormat="false" ht="15.7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</row>
    <row r="488" customFormat="false" ht="15.7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</row>
    <row r="489" customFormat="false" ht="15.7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</row>
    <row r="490" customFormat="false" ht="15.7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</row>
    <row r="491" customFormat="false" ht="15.7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</row>
    <row r="492" customFormat="false" ht="15.7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</row>
    <row r="493" customFormat="false" ht="15.7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</row>
    <row r="494" customFormat="false" ht="15.7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</row>
    <row r="495" customFormat="false" ht="15.7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</row>
    <row r="496" customFormat="false" ht="15.7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</row>
    <row r="497" customFormat="false" ht="15.7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</row>
    <row r="498" customFormat="false" ht="15.7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</row>
    <row r="499" customFormat="false" ht="15.7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</row>
    <row r="500" customFormat="false" ht="15.7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</row>
    <row r="501" customFormat="false" ht="15.7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</row>
    <row r="502" customFormat="false" ht="15.7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</row>
    <row r="503" customFormat="false" ht="15.7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</row>
    <row r="504" customFormat="false" ht="15.7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</row>
    <row r="505" customFormat="false" ht="15.7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</row>
    <row r="506" customFormat="false" ht="15.7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</row>
    <row r="507" customFormat="false" ht="15.7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</row>
    <row r="508" customFormat="false" ht="15.7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</row>
    <row r="509" customFormat="false" ht="15.7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</row>
    <row r="510" customFormat="false" ht="15.7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</row>
    <row r="511" customFormat="false" ht="15.7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</row>
    <row r="512" customFormat="false" ht="15.7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</row>
    <row r="513" customFormat="false" ht="15.7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</row>
    <row r="514" customFormat="false" ht="15.7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</row>
    <row r="515" customFormat="false" ht="15.7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</row>
    <row r="516" customFormat="false" ht="15.7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</row>
    <row r="517" customFormat="false" ht="15.7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</row>
    <row r="518" customFormat="false" ht="15.7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</row>
    <row r="519" customFormat="false" ht="15.7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</row>
    <row r="520" customFormat="false" ht="15.7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</row>
    <row r="521" customFormat="false" ht="15.7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</row>
    <row r="522" customFormat="false" ht="15.7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</row>
    <row r="523" customFormat="false" ht="15.7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</row>
    <row r="524" customFormat="false" ht="15.7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</row>
    <row r="525" customFormat="false" ht="15.7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</row>
    <row r="526" customFormat="false" ht="15.7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</row>
    <row r="527" customFormat="false" ht="15.7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</row>
    <row r="528" customFormat="false" ht="15.7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</row>
    <row r="529" customFormat="false" ht="15.7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</row>
    <row r="530" customFormat="false" ht="15.7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</row>
    <row r="531" customFormat="false" ht="15.7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</row>
    <row r="532" customFormat="false" ht="15.7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</row>
    <row r="533" customFormat="false" ht="15.7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</row>
    <row r="534" customFormat="false" ht="15.7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</row>
    <row r="535" customFormat="false" ht="15.7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</row>
    <row r="536" customFormat="false" ht="15.7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</row>
    <row r="537" customFormat="false" ht="15.7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</row>
    <row r="538" customFormat="false" ht="15.7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</row>
    <row r="539" customFormat="false" ht="15.7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</row>
    <row r="540" customFormat="false" ht="15.7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</row>
    <row r="541" customFormat="false" ht="15.7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</row>
    <row r="542" customFormat="false" ht="15.7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</row>
    <row r="543" customFormat="false" ht="15.7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</row>
    <row r="544" customFormat="false" ht="15.7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</row>
    <row r="545" customFormat="false" ht="15.7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</row>
    <row r="546" customFormat="false" ht="15.7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</row>
    <row r="547" customFormat="false" ht="15.7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</row>
    <row r="548" customFormat="false" ht="15.7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</row>
    <row r="549" customFormat="false" ht="15.7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</row>
    <row r="550" customFormat="false" ht="15.7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</row>
    <row r="551" customFormat="false" ht="15.7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</row>
    <row r="552" customFormat="false" ht="15.7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</row>
    <row r="553" customFormat="false" ht="15.7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</row>
    <row r="554" customFormat="false" ht="15.7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</row>
    <row r="555" customFormat="false" ht="15.7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</row>
    <row r="556" customFormat="false" ht="15.7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</row>
    <row r="557" customFormat="false" ht="15.7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</row>
    <row r="558" customFormat="false" ht="15.7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</row>
    <row r="559" customFormat="false" ht="15.7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</row>
    <row r="560" customFormat="false" ht="15.7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</row>
    <row r="561" customFormat="false" ht="15.7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</row>
    <row r="562" customFormat="false" ht="15.7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</row>
    <row r="563" customFormat="false" ht="15.7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</row>
    <row r="564" customFormat="false" ht="15.7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</row>
    <row r="565" customFormat="false" ht="15.7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</row>
    <row r="566" customFormat="false" ht="15.7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</row>
    <row r="567" customFormat="false" ht="15.7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</row>
    <row r="568" customFormat="false" ht="15.7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</row>
    <row r="569" customFormat="false" ht="15.7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</row>
    <row r="570" customFormat="false" ht="15.7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</row>
    <row r="571" customFormat="false" ht="15.7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</row>
    <row r="572" customFormat="false" ht="15.7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</row>
    <row r="573" customFormat="false" ht="15.7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</row>
    <row r="574" customFormat="false" ht="15.7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</row>
    <row r="575" customFormat="false" ht="15.7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</row>
    <row r="576" customFormat="false" ht="15.7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</row>
    <row r="577" customFormat="false" ht="15.7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</row>
    <row r="578" customFormat="false" ht="15.7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</row>
    <row r="579" customFormat="false" ht="15.7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</row>
    <row r="580" customFormat="false" ht="15.7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</row>
    <row r="581" customFormat="false" ht="15.7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</row>
    <row r="582" customFormat="false" ht="15.7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</row>
    <row r="583" customFormat="false" ht="15.7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</row>
    <row r="584" customFormat="false" ht="15.7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</row>
    <row r="585" customFormat="false" ht="15.7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</row>
    <row r="586" customFormat="false" ht="15.7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</row>
    <row r="587" customFormat="false" ht="15.7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</row>
    <row r="588" customFormat="false" ht="15.7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</row>
    <row r="589" customFormat="false" ht="15.7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</row>
    <row r="590" customFormat="false" ht="15.7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</row>
    <row r="591" customFormat="false" ht="15.7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</row>
    <row r="592" customFormat="false" ht="15.7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</row>
    <row r="593" customFormat="false" ht="15.7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</row>
    <row r="594" customFormat="false" ht="15.7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</row>
    <row r="595" customFormat="false" ht="15.7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</row>
    <row r="596" customFormat="false" ht="15.7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</row>
    <row r="597" customFormat="false" ht="15.7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</row>
    <row r="598" customFormat="false" ht="15.7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</row>
    <row r="599" customFormat="false" ht="15.7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</row>
    <row r="600" customFormat="false" ht="15.7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</row>
    <row r="601" customFormat="false" ht="15.7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</row>
    <row r="602" customFormat="false" ht="15.7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</row>
    <row r="603" customFormat="false" ht="15.7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</row>
    <row r="604" customFormat="false" ht="15.7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</row>
    <row r="605" customFormat="false" ht="15.7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</row>
    <row r="606" customFormat="false" ht="15.7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</row>
    <row r="607" customFormat="false" ht="15.7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</row>
    <row r="608" customFormat="false" ht="15.7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</row>
    <row r="609" customFormat="false" ht="15.7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</row>
    <row r="610" customFormat="false" ht="15.7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</row>
    <row r="611" customFormat="false" ht="15.7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</row>
    <row r="612" customFormat="false" ht="15.7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</row>
    <row r="613" customFormat="false" ht="15.7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</row>
    <row r="614" customFormat="false" ht="15.7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</row>
    <row r="615" customFormat="false" ht="15.7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</row>
    <row r="616" customFormat="false" ht="15.7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</row>
    <row r="617" customFormat="false" ht="15.7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</row>
    <row r="618" customFormat="false" ht="15.7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</row>
    <row r="619" customFormat="false" ht="15.7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</row>
    <row r="620" customFormat="false" ht="15.7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</row>
    <row r="621" customFormat="false" ht="15.7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</row>
    <row r="622" customFormat="false" ht="15.7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</row>
    <row r="623" customFormat="false" ht="15.7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</row>
    <row r="624" customFormat="false" ht="15.7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</row>
    <row r="625" customFormat="false" ht="15.7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</row>
    <row r="626" customFormat="false" ht="15.7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</row>
    <row r="627" customFormat="false" ht="15.7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</row>
    <row r="628" customFormat="false" ht="15.7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</row>
    <row r="629" customFormat="false" ht="15.7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</row>
    <row r="630" customFormat="false" ht="15.7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</row>
    <row r="631" customFormat="false" ht="15.7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</row>
    <row r="632" customFormat="false" ht="15.7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</row>
    <row r="633" customFormat="false" ht="15.7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</row>
    <row r="634" customFormat="false" ht="15.7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</row>
    <row r="635" customFormat="false" ht="15.7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</row>
    <row r="636" customFormat="false" ht="15.7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</row>
    <row r="637" customFormat="false" ht="15.7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</row>
    <row r="638" customFormat="false" ht="15.7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</row>
    <row r="639" customFormat="false" ht="15.7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</row>
    <row r="640" customFormat="false" ht="15.7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</row>
    <row r="641" customFormat="false" ht="15.7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</row>
    <row r="642" customFormat="false" ht="15.7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</row>
    <row r="643" customFormat="false" ht="15.7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</row>
    <row r="644" customFormat="false" ht="15.7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</row>
    <row r="645" customFormat="false" ht="15.7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</row>
    <row r="646" customFormat="false" ht="15.7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</row>
    <row r="647" customFormat="false" ht="15.7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</row>
    <row r="648" customFormat="false" ht="15.7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</row>
    <row r="649" customFormat="false" ht="15.7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</row>
    <row r="650" customFormat="false" ht="15.7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</row>
    <row r="651" customFormat="false" ht="15.7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</row>
    <row r="652" customFormat="false" ht="15.7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</row>
    <row r="653" customFormat="false" ht="15.7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</row>
    <row r="654" customFormat="false" ht="15.7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</row>
    <row r="655" customFormat="false" ht="15.7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</row>
    <row r="656" customFormat="false" ht="15.7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</row>
    <row r="657" customFormat="false" ht="15.7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</row>
    <row r="658" customFormat="false" ht="15.7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</row>
    <row r="659" customFormat="false" ht="15.7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</row>
    <row r="660" customFormat="false" ht="15.7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</row>
    <row r="661" customFormat="false" ht="15.7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</row>
    <row r="662" customFormat="false" ht="15.7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</row>
    <row r="663" customFormat="false" ht="15.7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</row>
    <row r="664" customFormat="false" ht="15.7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</row>
    <row r="665" customFormat="false" ht="15.7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</row>
    <row r="666" customFormat="false" ht="15.7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</row>
    <row r="667" customFormat="false" ht="15.7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</row>
    <row r="668" customFormat="false" ht="15.7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</row>
    <row r="669" customFormat="false" ht="15.7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</row>
    <row r="670" customFormat="false" ht="15.7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</row>
    <row r="671" customFormat="false" ht="15.7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</row>
    <row r="672" customFormat="false" ht="15.7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</row>
    <row r="673" customFormat="false" ht="15.7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</row>
    <row r="674" customFormat="false" ht="15.7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</row>
    <row r="675" customFormat="false" ht="15.7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</row>
    <row r="676" customFormat="false" ht="15.7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</row>
    <row r="677" customFormat="false" ht="15.7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</row>
    <row r="678" customFormat="false" ht="15.7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</row>
    <row r="679" customFormat="false" ht="15.7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</row>
    <row r="680" customFormat="false" ht="15.7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</row>
    <row r="681" customFormat="false" ht="15.7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</row>
    <row r="682" customFormat="false" ht="15.7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</row>
    <row r="683" customFormat="false" ht="15.7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</row>
    <row r="684" customFormat="false" ht="15.7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</row>
    <row r="685" customFormat="false" ht="15.7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</row>
    <row r="686" customFormat="false" ht="15.7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</row>
    <row r="687" customFormat="false" ht="15.7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</row>
    <row r="688" customFormat="false" ht="15.7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</row>
    <row r="689" customFormat="false" ht="15.7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</row>
    <row r="690" customFormat="false" ht="15.7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</row>
    <row r="691" customFormat="false" ht="15.7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</row>
    <row r="692" customFormat="false" ht="15.7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</row>
    <row r="693" customFormat="false" ht="15.7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</row>
    <row r="694" customFormat="false" ht="15.7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</row>
    <row r="695" customFormat="false" ht="15.7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</row>
    <row r="696" customFormat="false" ht="15.7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</row>
    <row r="697" customFormat="false" ht="15.7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</row>
    <row r="698" customFormat="false" ht="15.7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</row>
    <row r="699" customFormat="false" ht="15.7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</row>
    <row r="700" customFormat="false" ht="15.7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</row>
    <row r="701" customFormat="false" ht="15.7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</row>
    <row r="702" customFormat="false" ht="15.7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</row>
    <row r="703" customFormat="false" ht="15.7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</row>
    <row r="704" customFormat="false" ht="15.7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</row>
    <row r="705" customFormat="false" ht="15.7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</row>
    <row r="706" customFormat="false" ht="15.7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</row>
    <row r="707" customFormat="false" ht="15.7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</row>
    <row r="708" customFormat="false" ht="15.7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</row>
    <row r="709" customFormat="false" ht="15.7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</row>
    <row r="710" customFormat="false" ht="15.7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</row>
    <row r="711" customFormat="false" ht="15.7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</row>
    <row r="712" customFormat="false" ht="15.7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</row>
    <row r="713" customFormat="false" ht="15.7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</row>
    <row r="714" customFormat="false" ht="15.7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</row>
    <row r="715" customFormat="false" ht="15.7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</row>
    <row r="716" customFormat="false" ht="15.7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</row>
    <row r="717" customFormat="false" ht="15.7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</row>
    <row r="718" customFormat="false" ht="15.7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</row>
    <row r="719" customFormat="false" ht="15.7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</row>
    <row r="720" customFormat="false" ht="15.7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</row>
    <row r="721" customFormat="false" ht="15.7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</row>
    <row r="722" customFormat="false" ht="15.7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</row>
    <row r="723" customFormat="false" ht="15.7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</row>
    <row r="724" customFormat="false" ht="15.7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</row>
    <row r="725" customFormat="false" ht="15.7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</row>
    <row r="726" customFormat="false" ht="15.7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</row>
    <row r="727" customFormat="false" ht="15.7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</row>
    <row r="728" customFormat="false" ht="15.7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</row>
    <row r="729" customFormat="false" ht="15.7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</row>
    <row r="730" customFormat="false" ht="15.7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</row>
    <row r="731" customFormat="false" ht="15.7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</row>
    <row r="732" customFormat="false" ht="15.7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</row>
    <row r="733" customFormat="false" ht="15.7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</row>
    <row r="734" customFormat="false" ht="15.7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</row>
    <row r="735" customFormat="false" ht="15.7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</row>
    <row r="736" customFormat="false" ht="15.7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</row>
    <row r="737" customFormat="false" ht="15.7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</row>
    <row r="738" customFormat="false" ht="15.7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</row>
    <row r="739" customFormat="false" ht="15.7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</row>
    <row r="740" customFormat="false" ht="15.7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</row>
    <row r="741" customFormat="false" ht="15.7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</row>
    <row r="742" customFormat="false" ht="15.7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</row>
    <row r="743" customFormat="false" ht="15.7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</row>
    <row r="744" customFormat="false" ht="15.7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</row>
    <row r="745" customFormat="false" ht="15.7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</row>
    <row r="746" customFormat="false" ht="15.7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</row>
    <row r="747" customFormat="false" ht="15.7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</row>
    <row r="748" customFormat="false" ht="15.7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</row>
    <row r="749" customFormat="false" ht="15.7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</row>
    <row r="750" customFormat="false" ht="15.7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</row>
    <row r="751" customFormat="false" ht="15.7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</row>
    <row r="752" customFormat="false" ht="15.7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</row>
    <row r="753" customFormat="false" ht="15.7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</row>
    <row r="754" customFormat="false" ht="15.7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</row>
    <row r="755" customFormat="false" ht="15.7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</row>
    <row r="756" customFormat="false" ht="15.7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</row>
    <row r="757" customFormat="false" ht="15.7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</row>
    <row r="758" customFormat="false" ht="15.7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</row>
    <row r="759" customFormat="false" ht="15.7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</row>
    <row r="760" customFormat="false" ht="15.7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</row>
    <row r="761" customFormat="false" ht="15.7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</row>
    <row r="762" customFormat="false" ht="15.7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</row>
    <row r="763" customFormat="false" ht="15.7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</row>
    <row r="764" customFormat="false" ht="15.7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</row>
    <row r="765" customFormat="false" ht="15.7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</row>
    <row r="766" customFormat="false" ht="15.7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</row>
    <row r="767" customFormat="false" ht="15.7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</row>
    <row r="768" customFormat="false" ht="15.7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</row>
    <row r="769" customFormat="false" ht="15.7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</row>
    <row r="770" customFormat="false" ht="15.7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</row>
    <row r="771" customFormat="false" ht="15.7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</row>
    <row r="772" customFormat="false" ht="15.7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</row>
    <row r="773" customFormat="false" ht="15.7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</row>
    <row r="774" customFormat="false" ht="15.7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</row>
    <row r="775" customFormat="false" ht="15.7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</row>
    <row r="776" customFormat="false" ht="15.7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</row>
    <row r="777" customFormat="false" ht="15.7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</row>
    <row r="778" customFormat="false" ht="15.7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</row>
    <row r="779" customFormat="false" ht="15.7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</row>
    <row r="780" customFormat="false" ht="15.7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</row>
    <row r="781" customFormat="false" ht="15.7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</row>
    <row r="782" customFormat="false" ht="15.7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</row>
    <row r="783" customFormat="false" ht="15.7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</row>
    <row r="784" customFormat="false" ht="15.7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</row>
    <row r="785" customFormat="false" ht="15.7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</row>
    <row r="786" customFormat="false" ht="15.7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</row>
    <row r="787" customFormat="false" ht="15.7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</row>
    <row r="788" customFormat="false" ht="15.7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</row>
    <row r="789" customFormat="false" ht="15.7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</row>
    <row r="790" customFormat="false" ht="15.7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</row>
    <row r="791" customFormat="false" ht="15.7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</row>
    <row r="792" customFormat="false" ht="15.7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</row>
    <row r="793" customFormat="false" ht="15.7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</row>
    <row r="794" customFormat="false" ht="15.7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</row>
    <row r="795" customFormat="false" ht="15.7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</row>
    <row r="796" customFormat="false" ht="15.7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</row>
    <row r="797" customFormat="false" ht="15.7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</row>
    <row r="798" customFormat="false" ht="15.7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</row>
    <row r="799" customFormat="false" ht="15.7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</row>
    <row r="800" customFormat="false" ht="15.7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</row>
    <row r="801" customFormat="false" ht="15.7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</row>
    <row r="802" customFormat="false" ht="15.7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</row>
    <row r="803" customFormat="false" ht="15.7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</row>
    <row r="804" customFormat="false" ht="15.7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</row>
    <row r="805" customFormat="false" ht="15.7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</row>
    <row r="806" customFormat="false" ht="15.7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</row>
    <row r="807" customFormat="false" ht="15.7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</row>
    <row r="808" customFormat="false" ht="15.7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</row>
    <row r="809" customFormat="false" ht="15.7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</row>
    <row r="810" customFormat="false" ht="15.7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</row>
    <row r="811" customFormat="false" ht="15.7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</row>
    <row r="812" customFormat="false" ht="15.7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</row>
    <row r="813" customFormat="false" ht="15.7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</row>
    <row r="814" customFormat="false" ht="15.7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</row>
    <row r="815" customFormat="false" ht="15.7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</row>
    <row r="816" customFormat="false" ht="15.7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</row>
    <row r="817" customFormat="false" ht="15.7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</row>
    <row r="818" customFormat="false" ht="15.7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</row>
    <row r="819" customFormat="false" ht="15.7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</row>
    <row r="820" customFormat="false" ht="15.7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</row>
    <row r="821" customFormat="false" ht="15.7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</row>
    <row r="822" customFormat="false" ht="15.7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</row>
    <row r="823" customFormat="false" ht="15.7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</row>
    <row r="824" customFormat="false" ht="15.7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</row>
    <row r="825" customFormat="false" ht="15.7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</row>
    <row r="826" customFormat="false" ht="15.7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</row>
    <row r="827" customFormat="false" ht="15.7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</row>
    <row r="828" customFormat="false" ht="15.7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</row>
    <row r="829" customFormat="false" ht="15.7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</row>
    <row r="830" customFormat="false" ht="15.7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</row>
    <row r="831" customFormat="false" ht="15.7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</row>
    <row r="832" customFormat="false" ht="15.7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</row>
    <row r="833" customFormat="false" ht="15.7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</row>
    <row r="834" customFormat="false" ht="15.7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</row>
    <row r="835" customFormat="false" ht="15.7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</row>
    <row r="836" customFormat="false" ht="15.7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</row>
    <row r="837" customFormat="false" ht="15.7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</row>
    <row r="838" customFormat="false" ht="15.7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</row>
    <row r="839" customFormat="false" ht="15.7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</row>
    <row r="840" customFormat="false" ht="15.7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</row>
    <row r="841" customFormat="false" ht="15.7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</row>
    <row r="842" customFormat="false" ht="15.7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</row>
    <row r="843" customFormat="false" ht="15.7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</row>
    <row r="844" customFormat="false" ht="15.7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</row>
    <row r="845" customFormat="false" ht="15.7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</row>
    <row r="846" customFormat="false" ht="15.7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</row>
    <row r="847" customFormat="false" ht="15.7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</row>
    <row r="848" customFormat="false" ht="15.7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</row>
    <row r="849" customFormat="false" ht="15.7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</row>
    <row r="850" customFormat="false" ht="15.7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</row>
    <row r="851" customFormat="false" ht="15.7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</row>
    <row r="852" customFormat="false" ht="15.7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</row>
    <row r="853" customFormat="false" ht="15.7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</row>
    <row r="854" customFormat="false" ht="15.7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</row>
    <row r="855" customFormat="false" ht="15.7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</row>
    <row r="856" customFormat="false" ht="15.7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</row>
    <row r="857" customFormat="false" ht="15.7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</row>
    <row r="858" customFormat="false" ht="15.7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</row>
    <row r="859" customFormat="false" ht="15.7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</row>
    <row r="860" customFormat="false" ht="15.7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</row>
    <row r="861" customFormat="false" ht="15.7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</row>
    <row r="862" customFormat="false" ht="15.7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</row>
    <row r="863" customFormat="false" ht="15.7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</row>
    <row r="864" customFormat="false" ht="15.7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</row>
    <row r="865" customFormat="false" ht="15.7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</row>
    <row r="866" customFormat="false" ht="15.7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</row>
    <row r="867" customFormat="false" ht="15.7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</row>
    <row r="868" customFormat="false" ht="15.7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</row>
    <row r="869" customFormat="false" ht="15.7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</row>
    <row r="870" customFormat="false" ht="15.7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</row>
    <row r="871" customFormat="false" ht="15.7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</row>
    <row r="872" customFormat="false" ht="15.7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</row>
    <row r="873" customFormat="false" ht="15.7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</row>
    <row r="874" customFormat="false" ht="15.7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</row>
    <row r="875" customFormat="false" ht="15.7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</row>
    <row r="876" customFormat="false" ht="15.7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</row>
    <row r="877" customFormat="false" ht="15.7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</row>
    <row r="878" customFormat="false" ht="15.7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</row>
    <row r="879" customFormat="false" ht="15.7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</row>
    <row r="880" customFormat="false" ht="15.7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</row>
    <row r="881" customFormat="false" ht="15.7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</row>
    <row r="882" customFormat="false" ht="15.7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</row>
    <row r="883" customFormat="false" ht="15.7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</row>
    <row r="884" customFormat="false" ht="15.7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</row>
    <row r="885" customFormat="false" ht="15.7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</row>
    <row r="886" customFormat="false" ht="15.7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</row>
    <row r="887" customFormat="false" ht="15.7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</row>
    <row r="888" customFormat="false" ht="15.7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</row>
    <row r="889" customFormat="false" ht="15.7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</row>
    <row r="890" customFormat="false" ht="15.7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</row>
    <row r="891" customFormat="false" ht="15.7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</row>
    <row r="892" customFormat="false" ht="15.7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</row>
    <row r="893" customFormat="false" ht="15.7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</row>
    <row r="894" customFormat="false" ht="15.7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</row>
    <row r="895" customFormat="false" ht="15.7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</row>
    <row r="896" customFormat="false" ht="15.7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</row>
    <row r="897" customFormat="false" ht="15.7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</row>
    <row r="898" customFormat="false" ht="15.7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</row>
    <row r="899" customFormat="false" ht="15.7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</row>
    <row r="900" customFormat="false" ht="15.7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</row>
    <row r="901" customFormat="false" ht="15.7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</row>
    <row r="902" customFormat="false" ht="15.7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</row>
    <row r="903" customFormat="false" ht="15.7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</row>
    <row r="904" customFormat="false" ht="15.7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</row>
    <row r="905" customFormat="false" ht="15.7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</row>
    <row r="906" customFormat="false" ht="15.7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</row>
    <row r="907" customFormat="false" ht="15.7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</row>
    <row r="908" customFormat="false" ht="15.7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</row>
    <row r="909" customFormat="false" ht="15.7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</row>
    <row r="910" customFormat="false" ht="15.7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</row>
    <row r="911" customFormat="false" ht="15.7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</row>
    <row r="912" customFormat="false" ht="15.7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</row>
    <row r="913" customFormat="false" ht="15.7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</row>
    <row r="914" customFormat="false" ht="15.7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</row>
    <row r="915" customFormat="false" ht="15.7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</row>
    <row r="916" customFormat="false" ht="15.7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</row>
    <row r="917" customFormat="false" ht="15.7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</row>
    <row r="918" customFormat="false" ht="15.7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</row>
    <row r="919" customFormat="false" ht="15.7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</row>
    <row r="920" customFormat="false" ht="15.7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</row>
    <row r="921" customFormat="false" ht="15.7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</row>
    <row r="922" customFormat="false" ht="15.7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</row>
    <row r="923" customFormat="false" ht="15.7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</row>
    <row r="924" customFormat="false" ht="15.7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</row>
    <row r="925" customFormat="false" ht="15.7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</row>
    <row r="926" customFormat="false" ht="15.7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</row>
    <row r="927" customFormat="false" ht="15.7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</row>
    <row r="928" customFormat="false" ht="15.7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</row>
    <row r="929" customFormat="false" ht="15.7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</row>
    <row r="930" customFormat="false" ht="15.7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</row>
    <row r="931" customFormat="false" ht="15.7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</row>
    <row r="932" customFormat="false" ht="15.7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</row>
    <row r="933" customFormat="false" ht="15.7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</row>
    <row r="934" customFormat="false" ht="15.7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</row>
    <row r="935" customFormat="false" ht="15.7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</row>
    <row r="936" customFormat="false" ht="15.7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</row>
    <row r="937" customFormat="false" ht="15.7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</row>
    <row r="938" customFormat="false" ht="15.7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</row>
    <row r="939" customFormat="false" ht="15.7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</row>
    <row r="940" customFormat="false" ht="15.7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</row>
    <row r="941" customFormat="false" ht="15.7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</row>
    <row r="942" customFormat="false" ht="15.7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</row>
    <row r="943" customFormat="false" ht="15.7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</row>
    <row r="944" customFormat="false" ht="15.7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</row>
    <row r="945" customFormat="false" ht="15.7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</row>
    <row r="946" customFormat="false" ht="15.7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</row>
    <row r="947" customFormat="false" ht="15.7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</row>
    <row r="948" customFormat="false" ht="15.7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</row>
    <row r="949" customFormat="false" ht="15.7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</row>
    <row r="950" customFormat="false" ht="15.7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</row>
    <row r="951" customFormat="false" ht="15.7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</row>
    <row r="952" customFormat="false" ht="15.7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</row>
    <row r="953" customFormat="false" ht="15.7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</row>
    <row r="954" customFormat="false" ht="15.7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</row>
    <row r="955" customFormat="false" ht="15.7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</row>
    <row r="956" customFormat="false" ht="15.7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</row>
    <row r="957" customFormat="false" ht="15.7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</row>
    <row r="958" customFormat="false" ht="15.7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</row>
    <row r="959" customFormat="false" ht="15.7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</row>
    <row r="960" customFormat="false" ht="15.7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</row>
    <row r="961" customFormat="false" ht="15.7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</row>
    <row r="962" customFormat="false" ht="15.7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</row>
    <row r="963" customFormat="false" ht="15.7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</row>
    <row r="964" customFormat="false" ht="15.7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</row>
    <row r="965" customFormat="false" ht="15.7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</row>
    <row r="966" customFormat="false" ht="15.7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</row>
    <row r="967" customFormat="false" ht="15.7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</row>
    <row r="968" customFormat="false" ht="15.7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</row>
    <row r="969" customFormat="false" ht="15.7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</row>
    <row r="970" customFormat="false" ht="15.7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</row>
    <row r="971" customFormat="false" ht="15.7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</row>
    <row r="972" customFormat="false" ht="15.7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</row>
    <row r="973" customFormat="false" ht="15.7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</row>
    <row r="974" customFormat="false" ht="15.7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</row>
    <row r="975" customFormat="false" ht="15.7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</row>
    <row r="976" customFormat="false" ht="15.7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</row>
    <row r="977" customFormat="false" ht="15.7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</row>
    <row r="978" customFormat="false" ht="15.7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</row>
    <row r="979" customFormat="false" ht="15.7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</row>
    <row r="980" customFormat="false" ht="15.7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</row>
    <row r="981" customFormat="false" ht="15.7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</row>
    <row r="982" customFormat="false" ht="15.7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</row>
    <row r="983" customFormat="false" ht="15.7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</row>
    <row r="984" customFormat="false" ht="15.7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</row>
    <row r="985" customFormat="false" ht="15.7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</row>
    <row r="986" customFormat="false" ht="15.7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</row>
    <row r="987" customFormat="false" ht="15.7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</row>
    <row r="988" customFormat="false" ht="15.7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</row>
    <row r="989" customFormat="false" ht="15.7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</row>
    <row r="990" customFormat="false" ht="15.7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</row>
    <row r="991" customFormat="false" ht="15.7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</row>
    <row r="992" customFormat="false" ht="15.7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</row>
    <row r="993" customFormat="false" ht="15.7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</row>
    <row r="994" customFormat="false" ht="15.7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</row>
    <row r="995" customFormat="false" ht="15.7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</row>
    <row r="996" customFormat="false" ht="15.7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</row>
    <row r="997" customFormat="false" ht="15.75" hidden="false" customHeight="true" outlineLevel="0" collapsed="false">
      <c r="A997" s="2"/>
      <c r="B997" s="2"/>
      <c r="C997" s="2"/>
      <c r="D997" s="2"/>
      <c r="E997" s="2"/>
      <c r="F997" s="2"/>
      <c r="G997" s="2"/>
      <c r="H997" s="2"/>
    </row>
    <row r="998" customFormat="false" ht="15.75" hidden="false" customHeight="true" outlineLevel="0" collapsed="false">
      <c r="A998" s="2"/>
      <c r="B998" s="2"/>
      <c r="C998" s="2"/>
      <c r="D998" s="2"/>
      <c r="E998" s="2"/>
      <c r="F998" s="2"/>
      <c r="G998" s="2"/>
      <c r="H998" s="2"/>
    </row>
    <row r="999" customFormat="false" ht="15.75" hidden="false" customHeight="true" outlineLevel="0" collapsed="false">
      <c r="A999" s="2"/>
      <c r="B999" s="2"/>
      <c r="C999" s="2"/>
      <c r="D999" s="2"/>
      <c r="E999" s="2"/>
      <c r="F999" s="2"/>
      <c r="G999" s="2"/>
      <c r="H999" s="2"/>
    </row>
    <row r="1000" customFormat="false" ht="15.75" hidden="false" customHeight="true" outlineLevel="0" collapsed="false">
      <c r="A1000" s="2"/>
      <c r="B1000" s="2"/>
      <c r="C1000" s="2"/>
      <c r="D1000" s="2"/>
      <c r="E1000" s="2"/>
      <c r="F1000" s="2"/>
      <c r="G1000" s="2"/>
      <c r="H1000" s="2"/>
    </row>
  </sheetData>
  <mergeCells count="22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1:G31"/>
    <mergeCell ref="B32:H32"/>
    <mergeCell ref="D34:H34"/>
    <mergeCell ref="B39:G39"/>
    <mergeCell ref="B40:G40"/>
    <mergeCell ref="B41:G41"/>
    <mergeCell ref="B43:G43"/>
    <mergeCell ref="B44:G44"/>
    <mergeCell ref="B45:G45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  <c r="G1" s="2"/>
      <c r="H1" s="2"/>
    </row>
    <row r="2" customFormat="false" ht="19.7" hidden="false" customHeight="false" outlineLevel="0" collapsed="false">
      <c r="A2" s="2"/>
      <c r="B2" s="3" t="s">
        <v>846</v>
      </c>
      <c r="C2" s="3"/>
      <c r="D2" s="3"/>
      <c r="E2" s="3"/>
      <c r="F2" s="3"/>
      <c r="G2" s="3"/>
      <c r="H2" s="3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true" outlineLevel="0" collapsed="false">
      <c r="A4" s="2"/>
      <c r="B4" s="4" t="s">
        <v>785</v>
      </c>
      <c r="C4" s="5" t="s">
        <v>847</v>
      </c>
      <c r="D4" s="5"/>
      <c r="E4" s="5"/>
      <c r="F4" s="5"/>
      <c r="G4" s="5"/>
      <c r="H4" s="5"/>
    </row>
    <row r="5" customFormat="false" ht="15" hidden="false" customHeight="true" outlineLevel="0" collapsed="false">
      <c r="A5" s="2"/>
      <c r="B5" s="4" t="s">
        <v>787</v>
      </c>
      <c r="C5" s="5" t="s">
        <v>848</v>
      </c>
      <c r="D5" s="5"/>
      <c r="E5" s="5"/>
      <c r="F5" s="5"/>
      <c r="G5" s="5"/>
      <c r="H5" s="5"/>
    </row>
    <row r="6" customFormat="false" ht="15" hidden="false" customHeight="true" outlineLevel="0" collapsed="false">
      <c r="A6" s="2"/>
      <c r="B6" s="4" t="s">
        <v>18</v>
      </c>
      <c r="C6" s="5" t="s">
        <v>826</v>
      </c>
      <c r="D6" s="5"/>
      <c r="E6" s="5"/>
      <c r="F6" s="5"/>
      <c r="G6" s="5"/>
      <c r="H6" s="5"/>
    </row>
    <row r="7" customFormat="false" ht="15" hidden="false" customHeight="true" outlineLevel="0" collapsed="false">
      <c r="A7" s="2"/>
      <c r="B7" s="4" t="s">
        <v>790</v>
      </c>
      <c r="C7" s="5" t="s">
        <v>845</v>
      </c>
      <c r="D7" s="5"/>
      <c r="E7" s="5"/>
      <c r="F7" s="5"/>
      <c r="G7" s="5"/>
      <c r="H7" s="5"/>
    </row>
    <row r="8" customFormat="false" ht="15" hidden="false" customHeight="false" outlineLevel="0" collapsed="false">
      <c r="A8" s="2"/>
      <c r="B8" s="4" t="s">
        <v>792</v>
      </c>
      <c r="C8" s="43" t="n">
        <f aca="false">RINGKASAN!$K$19</f>
        <v>116200487</v>
      </c>
      <c r="D8" s="43"/>
      <c r="E8" s="43"/>
      <c r="F8" s="43"/>
      <c r="G8" s="43"/>
      <c r="H8" s="43"/>
    </row>
    <row r="9" customFormat="false" ht="15" hidden="false" customHeight="true" outlineLevel="0" collapsed="false">
      <c r="A9" s="2"/>
      <c r="B9" s="4" t="s">
        <v>81</v>
      </c>
      <c r="C9" s="5" t="s">
        <v>793</v>
      </c>
      <c r="D9" s="5"/>
      <c r="E9" s="5"/>
      <c r="F9" s="5"/>
      <c r="G9" s="5"/>
      <c r="H9" s="5"/>
    </row>
    <row r="10" customFormat="false" ht="15" hidden="false" customHeight="true" outlineLevel="0" collapsed="false">
      <c r="A10" s="2"/>
      <c r="B10" s="4" t="s">
        <v>9</v>
      </c>
      <c r="C10" s="5" t="s">
        <v>10</v>
      </c>
      <c r="D10" s="5"/>
      <c r="E10" s="5"/>
      <c r="F10" s="5"/>
      <c r="G10" s="5"/>
      <c r="H10" s="5"/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</row>
    <row r="12" customFormat="false" ht="21.75" hidden="false" customHeight="true" outlineLevel="0" collapsed="false">
      <c r="A12" s="2"/>
      <c r="B12" s="15" t="s">
        <v>794</v>
      </c>
      <c r="C12" s="15"/>
      <c r="D12" s="15"/>
      <c r="E12" s="15"/>
      <c r="F12" s="15"/>
      <c r="G12" s="15"/>
      <c r="H12" s="15"/>
    </row>
    <row r="13" customFormat="false" ht="27.75" hidden="false" customHeight="true" outlineLevel="0" collapsed="false">
      <c r="A13" s="2"/>
      <c r="B13" s="7" t="s">
        <v>16</v>
      </c>
      <c r="C13" s="7" t="s">
        <v>795</v>
      </c>
      <c r="D13" s="7" t="s">
        <v>796</v>
      </c>
      <c r="E13" s="7" t="s">
        <v>797</v>
      </c>
      <c r="F13" s="7" t="s">
        <v>89</v>
      </c>
      <c r="G13" s="7" t="s">
        <v>90</v>
      </c>
      <c r="H13" s="7" t="s">
        <v>798</v>
      </c>
    </row>
    <row r="14" customFormat="false" ht="21.75" hidden="false" customHeight="true" outlineLevel="0" collapsed="false">
      <c r="A14" s="2"/>
      <c r="B14" s="33" t="s">
        <v>799</v>
      </c>
      <c r="C14" s="34" t="s">
        <v>800</v>
      </c>
      <c r="D14" s="35"/>
      <c r="E14" s="35"/>
      <c r="F14" s="35"/>
      <c r="G14" s="35"/>
      <c r="H14" s="35"/>
    </row>
    <row r="15" customFormat="false" ht="36" hidden="false" customHeight="true" outlineLevel="0" collapsed="false">
      <c r="A15" s="2"/>
      <c r="B15" s="9" t="s">
        <v>801</v>
      </c>
      <c r="C15" s="17" t="s">
        <v>104</v>
      </c>
      <c r="D15" s="36" t="n">
        <v>25</v>
      </c>
      <c r="E15" s="36" t="n">
        <v>25</v>
      </c>
      <c r="F15" s="18" t="s">
        <v>94</v>
      </c>
      <c r="G15" s="8" t="n">
        <f aca="false">'Master of Price'!$G$17</f>
        <v>352000</v>
      </c>
      <c r="H15" s="8" t="n">
        <f aca="false">E15*G15</f>
        <v>8800000</v>
      </c>
    </row>
    <row r="16" customFormat="false" ht="27.75" hidden="false" customHeight="true" outlineLevel="0" collapsed="false">
      <c r="A16" s="2"/>
      <c r="B16" s="9" t="s">
        <v>802</v>
      </c>
      <c r="C16" s="17" t="s">
        <v>96</v>
      </c>
      <c r="D16" s="36" t="n">
        <v>25</v>
      </c>
      <c r="E16" s="36" t="n">
        <v>25</v>
      </c>
      <c r="F16" s="18" t="s">
        <v>94</v>
      </c>
      <c r="G16" s="8" t="n">
        <f aca="false">'Master of Price'!$G$13</f>
        <v>100000</v>
      </c>
      <c r="H16" s="8" t="n">
        <f aca="false">E16*G16</f>
        <v>2500000</v>
      </c>
    </row>
    <row r="17" customFormat="false" ht="27.75" hidden="false" customHeight="true" outlineLevel="0" collapsed="false">
      <c r="A17" s="2"/>
      <c r="B17" s="9" t="s">
        <v>803</v>
      </c>
      <c r="C17" s="17" t="s">
        <v>98</v>
      </c>
      <c r="D17" s="36" t="n">
        <v>25</v>
      </c>
      <c r="E17" s="36" t="n">
        <v>25</v>
      </c>
      <c r="F17" s="18" t="s">
        <v>94</v>
      </c>
      <c r="G17" s="8" t="n">
        <f aca="false">'Master of Price'!$G$14</f>
        <v>28000</v>
      </c>
      <c r="H17" s="8" t="n">
        <f aca="false">E17*G17</f>
        <v>700000</v>
      </c>
    </row>
    <row r="18" customFormat="false" ht="27.75" hidden="false" customHeight="true" outlineLevel="0" collapsed="false">
      <c r="A18" s="2"/>
      <c r="B18" s="9" t="s">
        <v>804</v>
      </c>
      <c r="C18" s="17" t="s">
        <v>100</v>
      </c>
      <c r="D18" s="36" t="n">
        <v>25</v>
      </c>
      <c r="E18" s="36" t="n">
        <v>25</v>
      </c>
      <c r="F18" s="18" t="s">
        <v>94</v>
      </c>
      <c r="G18" s="8" t="n">
        <f aca="false">'Master of Price'!$G$15</f>
        <v>45000</v>
      </c>
      <c r="H18" s="8" t="n">
        <f aca="false">E18*G18</f>
        <v>1125000</v>
      </c>
    </row>
    <row r="19" customFormat="false" ht="27.75" hidden="false" customHeight="true" outlineLevel="0" collapsed="false">
      <c r="A19" s="2"/>
      <c r="B19" s="9" t="s">
        <v>805</v>
      </c>
      <c r="C19" s="17" t="s">
        <v>102</v>
      </c>
      <c r="D19" s="36" t="n">
        <v>25</v>
      </c>
      <c r="E19" s="36" t="n">
        <v>25</v>
      </c>
      <c r="F19" s="18" t="s">
        <v>94</v>
      </c>
      <c r="G19" s="8" t="n">
        <f aca="false">'Master of Price'!$G$16</f>
        <v>75000</v>
      </c>
      <c r="H19" s="8" t="n">
        <f aca="false">E19*G19</f>
        <v>1875000</v>
      </c>
    </row>
    <row r="20" customFormat="false" ht="25.5" hidden="false" customHeight="true" outlineLevel="0" collapsed="false">
      <c r="A20" s="2"/>
      <c r="B20" s="23" t="s">
        <v>806</v>
      </c>
      <c r="C20" s="23"/>
      <c r="D20" s="23"/>
      <c r="E20" s="23"/>
      <c r="F20" s="23"/>
      <c r="G20" s="23"/>
      <c r="H20" s="11" t="n">
        <f aca="false">SUM(H15:H19)</f>
        <v>15000000</v>
      </c>
    </row>
    <row r="21" customFormat="false" ht="21.75" hidden="false" customHeight="true" outlineLevel="0" collapsed="false">
      <c r="A21" s="2"/>
      <c r="B21" s="15" t="s">
        <v>807</v>
      </c>
      <c r="C21" s="15"/>
      <c r="D21" s="15"/>
      <c r="E21" s="15"/>
      <c r="F21" s="15"/>
      <c r="G21" s="15"/>
      <c r="H21" s="15"/>
    </row>
    <row r="22" customFormat="false" ht="27.75" hidden="false" customHeight="true" outlineLevel="0" collapsed="false">
      <c r="A22" s="2"/>
      <c r="B22" s="7" t="s">
        <v>16</v>
      </c>
      <c r="C22" s="7" t="s">
        <v>795</v>
      </c>
      <c r="D22" s="7" t="s">
        <v>796</v>
      </c>
      <c r="E22" s="7" t="s">
        <v>797</v>
      </c>
      <c r="F22" s="7" t="s">
        <v>89</v>
      </c>
      <c r="G22" s="7" t="s">
        <v>90</v>
      </c>
      <c r="H22" s="7" t="s">
        <v>798</v>
      </c>
    </row>
    <row r="23" customFormat="false" ht="21.75" hidden="false" customHeight="true" outlineLevel="0" collapsed="false">
      <c r="A23" s="2"/>
      <c r="B23" s="33" t="s">
        <v>808</v>
      </c>
      <c r="C23" s="34" t="s">
        <v>809</v>
      </c>
      <c r="D23" s="35"/>
      <c r="E23" s="35"/>
      <c r="F23" s="35"/>
      <c r="G23" s="35"/>
      <c r="H23" s="35"/>
    </row>
    <row r="24" customFormat="false" ht="27.75" hidden="false" customHeight="true" outlineLevel="0" collapsed="false">
      <c r="A24" s="2"/>
      <c r="B24" s="9" t="s">
        <v>810</v>
      </c>
      <c r="C24" s="17" t="s">
        <v>116</v>
      </c>
      <c r="D24" s="36" t="n">
        <v>5.07</v>
      </c>
      <c r="E24" s="36" t="n">
        <v>5.07</v>
      </c>
      <c r="F24" s="18" t="s">
        <v>114</v>
      </c>
      <c r="G24" s="8" t="n">
        <f aca="false">'Master of Price'!$G$22</f>
        <v>47500</v>
      </c>
      <c r="H24" s="8" t="n">
        <f aca="false">E24*G24</f>
        <v>240825</v>
      </c>
    </row>
    <row r="25" customFormat="false" ht="21.75" hidden="false" customHeight="true" outlineLevel="0" collapsed="false">
      <c r="A25" s="2"/>
      <c r="B25" s="9" t="s">
        <v>828</v>
      </c>
      <c r="C25" s="17" t="s">
        <v>118</v>
      </c>
      <c r="D25" s="36" t="n">
        <v>0.39</v>
      </c>
      <c r="E25" s="36" t="n">
        <v>0.39</v>
      </c>
      <c r="F25" s="18" t="s">
        <v>114</v>
      </c>
      <c r="G25" s="8" t="n">
        <f aca="false">'Master of Price'!$G$23</f>
        <v>90000</v>
      </c>
      <c r="H25" s="8" t="n">
        <f aca="false">E25*G25</f>
        <v>35100</v>
      </c>
    </row>
    <row r="26" customFormat="false" ht="21.75" hidden="false" customHeight="true" outlineLevel="0" collapsed="false">
      <c r="A26" s="2"/>
      <c r="B26" s="9" t="s">
        <v>829</v>
      </c>
      <c r="C26" s="17" t="s">
        <v>120</v>
      </c>
      <c r="D26" s="36" t="n">
        <v>0.08</v>
      </c>
      <c r="E26" s="36" t="n">
        <v>0.08</v>
      </c>
      <c r="F26" s="18" t="s">
        <v>114</v>
      </c>
      <c r="G26" s="8" t="n">
        <f aca="false">'Master of Price'!$G$24</f>
        <v>130000</v>
      </c>
      <c r="H26" s="8" t="n">
        <f aca="false">E26*G26</f>
        <v>10400</v>
      </c>
    </row>
    <row r="27" customFormat="false" ht="27.75" hidden="false" customHeight="true" outlineLevel="0" collapsed="false">
      <c r="A27" s="2"/>
      <c r="B27" s="9" t="s">
        <v>830</v>
      </c>
      <c r="C27" s="17" t="s">
        <v>122</v>
      </c>
      <c r="D27" s="36" t="n">
        <v>3.9</v>
      </c>
      <c r="E27" s="36" t="n">
        <v>3.9</v>
      </c>
      <c r="F27" s="18" t="s">
        <v>114</v>
      </c>
      <c r="G27" s="8" t="n">
        <f aca="false">'Master of Price'!$G$25</f>
        <v>700000</v>
      </c>
      <c r="H27" s="8" t="n">
        <f aca="false">E27*G27</f>
        <v>2730000</v>
      </c>
    </row>
    <row r="28" customFormat="false" ht="36" hidden="false" customHeight="true" outlineLevel="0" collapsed="false">
      <c r="A28" s="2"/>
      <c r="B28" s="9" t="s">
        <v>831</v>
      </c>
      <c r="C28" s="17" t="s">
        <v>124</v>
      </c>
      <c r="D28" s="36" t="n">
        <v>0.975</v>
      </c>
      <c r="E28" s="36" t="n">
        <v>0.975</v>
      </c>
      <c r="F28" s="18" t="s">
        <v>114</v>
      </c>
      <c r="G28" s="8" t="n">
        <f aca="false">'Master of Price'!$G$26</f>
        <v>1000000</v>
      </c>
      <c r="H28" s="8" t="n">
        <f aca="false">E28*G28</f>
        <v>975000</v>
      </c>
    </row>
    <row r="29" customFormat="false" ht="36" hidden="false" customHeight="true" outlineLevel="0" collapsed="false">
      <c r="A29" s="2"/>
      <c r="B29" s="9" t="s">
        <v>832</v>
      </c>
      <c r="C29" s="17" t="s">
        <v>113</v>
      </c>
      <c r="D29" s="36" t="n">
        <v>0.1</v>
      </c>
      <c r="E29" s="36" t="n">
        <v>0.1</v>
      </c>
      <c r="F29" s="18" t="s">
        <v>114</v>
      </c>
      <c r="G29" s="8" t="n">
        <f aca="false">'Master of Price'!$G$21</f>
        <v>1000000</v>
      </c>
      <c r="H29" s="8" t="n">
        <f aca="false">E29*G29</f>
        <v>100000</v>
      </c>
    </row>
    <row r="30" customFormat="false" ht="36" hidden="false" customHeight="true" outlineLevel="0" collapsed="false">
      <c r="A30" s="2"/>
      <c r="B30" s="9" t="s">
        <v>833</v>
      </c>
      <c r="C30" s="17" t="s">
        <v>128</v>
      </c>
      <c r="D30" s="36" t="n">
        <v>1</v>
      </c>
      <c r="E30" s="36" t="n">
        <v>1</v>
      </c>
      <c r="F30" s="18" t="s">
        <v>129</v>
      </c>
      <c r="G30" s="8" t="n">
        <f aca="false">'Master of Price'!$G$28</f>
        <v>4500000</v>
      </c>
      <c r="H30" s="8" t="n">
        <f aca="false">E30*G30</f>
        <v>4500000</v>
      </c>
    </row>
    <row r="31" customFormat="false" ht="25.5" hidden="false" customHeight="true" outlineLevel="0" collapsed="false">
      <c r="A31" s="2"/>
      <c r="B31" s="23" t="s">
        <v>811</v>
      </c>
      <c r="C31" s="23"/>
      <c r="D31" s="23"/>
      <c r="E31" s="23"/>
      <c r="F31" s="23"/>
      <c r="G31" s="23"/>
      <c r="H31" s="11" t="n">
        <f aca="false">SUM(H24:H30)</f>
        <v>8591325</v>
      </c>
    </row>
    <row r="32" customFormat="false" ht="21.75" hidden="false" customHeight="true" outlineLevel="0" collapsed="false">
      <c r="A32" s="2"/>
      <c r="B32" s="15" t="s">
        <v>834</v>
      </c>
      <c r="C32" s="15"/>
      <c r="D32" s="15"/>
      <c r="E32" s="15"/>
      <c r="F32" s="15"/>
      <c r="G32" s="15"/>
      <c r="H32" s="15"/>
    </row>
    <row r="33" customFormat="false" ht="27.75" hidden="false" customHeight="true" outlineLevel="0" collapsed="false">
      <c r="A33" s="2"/>
      <c r="B33" s="7" t="s">
        <v>16</v>
      </c>
      <c r="C33" s="7" t="s">
        <v>795</v>
      </c>
      <c r="D33" s="7" t="s">
        <v>796</v>
      </c>
      <c r="E33" s="7" t="s">
        <v>797</v>
      </c>
      <c r="F33" s="7" t="s">
        <v>89</v>
      </c>
      <c r="G33" s="7" t="s">
        <v>90</v>
      </c>
      <c r="H33" s="7" t="s">
        <v>798</v>
      </c>
    </row>
    <row r="34" customFormat="false" ht="21.75" hidden="false" customHeight="true" outlineLevel="0" collapsed="false">
      <c r="A34" s="2"/>
      <c r="B34" s="33" t="s">
        <v>813</v>
      </c>
      <c r="C34" s="34" t="s">
        <v>835</v>
      </c>
      <c r="D34" s="35"/>
      <c r="E34" s="35"/>
      <c r="F34" s="35"/>
      <c r="G34" s="35"/>
      <c r="H34" s="35"/>
    </row>
    <row r="35" customFormat="false" ht="36" hidden="false" customHeight="true" outlineLevel="0" collapsed="false">
      <c r="A35" s="2"/>
      <c r="B35" s="9" t="s">
        <v>815</v>
      </c>
      <c r="C35" s="17" t="s">
        <v>132</v>
      </c>
      <c r="D35" s="36" t="n">
        <v>1</v>
      </c>
      <c r="E35" s="36" t="n">
        <v>1</v>
      </c>
      <c r="F35" s="18" t="s">
        <v>133</v>
      </c>
      <c r="G35" s="8" t="n">
        <f aca="false">'Master of Price'!$G$29</f>
        <v>24000000</v>
      </c>
      <c r="H35" s="8" t="n">
        <f aca="false">E35*G35</f>
        <v>24000000</v>
      </c>
    </row>
    <row r="36" customFormat="false" ht="27.75" hidden="false" customHeight="true" outlineLevel="0" collapsed="false">
      <c r="A36" s="2"/>
      <c r="B36" s="9" t="s">
        <v>816</v>
      </c>
      <c r="C36" s="17" t="s">
        <v>135</v>
      </c>
      <c r="D36" s="36" t="n">
        <v>1</v>
      </c>
      <c r="E36" s="36" t="n">
        <v>1</v>
      </c>
      <c r="F36" s="18" t="s">
        <v>136</v>
      </c>
      <c r="G36" s="8" t="n">
        <f aca="false">'Master of Price'!$G$30</f>
        <v>1500000</v>
      </c>
      <c r="H36" s="8" t="n">
        <f aca="false">E36*G36</f>
        <v>1500000</v>
      </c>
    </row>
    <row r="37" customFormat="false" ht="36" hidden="false" customHeight="true" outlineLevel="0" collapsed="false">
      <c r="A37" s="2"/>
      <c r="B37" s="9" t="s">
        <v>836</v>
      </c>
      <c r="C37" s="17" t="s">
        <v>138</v>
      </c>
      <c r="D37" s="36" t="n">
        <v>5</v>
      </c>
      <c r="E37" s="36" t="n">
        <v>5</v>
      </c>
      <c r="F37" s="18" t="s">
        <v>133</v>
      </c>
      <c r="G37" s="8" t="n">
        <f aca="false">'Master of Price'!$G$31</f>
        <v>2100000</v>
      </c>
      <c r="H37" s="8" t="n">
        <f aca="false">E37*G37</f>
        <v>10500000</v>
      </c>
    </row>
    <row r="38" customFormat="false" ht="36" hidden="false" customHeight="true" outlineLevel="0" collapsed="false">
      <c r="A38" s="2"/>
      <c r="B38" s="9" t="s">
        <v>837</v>
      </c>
      <c r="C38" s="17" t="s">
        <v>140</v>
      </c>
      <c r="D38" s="36" t="n">
        <v>1</v>
      </c>
      <c r="E38" s="36" t="n">
        <v>1</v>
      </c>
      <c r="F38" s="18" t="s">
        <v>136</v>
      </c>
      <c r="G38" s="8" t="n">
        <f aca="false">'Master of Price'!$G$32</f>
        <v>2500000</v>
      </c>
      <c r="H38" s="8" t="n">
        <f aca="false">E38*G38</f>
        <v>2500000</v>
      </c>
    </row>
    <row r="39" customFormat="false" ht="25.5" hidden="false" customHeight="true" outlineLevel="0" collapsed="false">
      <c r="A39" s="2"/>
      <c r="B39" s="23" t="s">
        <v>838</v>
      </c>
      <c r="C39" s="23"/>
      <c r="D39" s="23"/>
      <c r="E39" s="23"/>
      <c r="F39" s="23"/>
      <c r="G39" s="23"/>
      <c r="H39" s="11" t="n">
        <f aca="false">SUM(H35:H38)</f>
        <v>38500000</v>
      </c>
    </row>
    <row r="40" customFormat="false" ht="21.75" hidden="false" customHeight="true" outlineLevel="0" collapsed="false">
      <c r="A40" s="2"/>
      <c r="B40" s="37" t="s">
        <v>818</v>
      </c>
      <c r="C40" s="37"/>
      <c r="D40" s="37"/>
      <c r="E40" s="37"/>
      <c r="F40" s="37"/>
      <c r="G40" s="37"/>
      <c r="H40" s="38" t="n">
        <f aca="false">H43-(H20+H31+H39)</f>
        <v>54109162</v>
      </c>
    </row>
    <row r="41" customFormat="false" ht="27.75" hidden="false" customHeight="true" outlineLevel="0" collapsed="false">
      <c r="A41" s="2"/>
      <c r="B41" s="10" t="s">
        <v>819</v>
      </c>
      <c r="C41" s="10"/>
      <c r="D41" s="10"/>
      <c r="E41" s="10"/>
      <c r="F41" s="10"/>
      <c r="G41" s="10"/>
      <c r="H41" s="39" t="n">
        <f aca="false">H20+H31+H39+H40</f>
        <v>116200487</v>
      </c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</row>
    <row r="43" customFormat="false" ht="21.75" hidden="false" customHeight="true" outlineLevel="0" collapsed="false">
      <c r="A43" s="2"/>
      <c r="B43" s="21" t="s">
        <v>820</v>
      </c>
      <c r="C43" s="21"/>
      <c r="D43" s="21"/>
      <c r="E43" s="21"/>
      <c r="F43" s="21"/>
      <c r="G43" s="21"/>
      <c r="H43" s="40" t="n">
        <f aca="false">RINGKASAN!$K$19</f>
        <v>116200487</v>
      </c>
    </row>
    <row r="44" customFormat="false" ht="21.75" hidden="false" customHeight="true" outlineLevel="0" collapsed="false">
      <c r="A44" s="2"/>
      <c r="B44" s="41" t="s">
        <v>821</v>
      </c>
      <c r="C44" s="41"/>
      <c r="D44" s="41"/>
      <c r="E44" s="41"/>
      <c r="F44" s="41"/>
      <c r="G44" s="41"/>
      <c r="H44" s="8" t="n">
        <f aca="false">H41-H43</f>
        <v>0</v>
      </c>
    </row>
    <row r="45" customFormat="false" ht="21.75" hidden="false" customHeight="true" outlineLevel="0" collapsed="false">
      <c r="A45" s="2"/>
      <c r="B45" s="42" t="s">
        <v>822</v>
      </c>
      <c r="C45" s="42"/>
      <c r="D45" s="42"/>
      <c r="E45" s="42"/>
      <c r="F45" s="42"/>
      <c r="G45" s="42"/>
      <c r="H45" s="37" t="str">
        <f aca="false">IF(H40&lt;0,"OVER BUDGET","OK")</f>
        <v>OK</v>
      </c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</row>
    <row r="61" customFormat="false" ht="15" hidden="false" customHeight="false" outlineLevel="0" collapsed="false">
      <c r="A61" s="2"/>
      <c r="B61" s="2"/>
      <c r="C61" s="2"/>
      <c r="D61" s="2"/>
      <c r="E61" s="2"/>
      <c r="F61" s="2"/>
      <c r="G61" s="2"/>
      <c r="H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  <c r="G62" s="2"/>
      <c r="H62" s="2"/>
    </row>
    <row r="63" customFormat="false" ht="15" hidden="false" customHeight="false" outlineLevel="0" collapsed="false">
      <c r="A63" s="2"/>
      <c r="B63" s="2"/>
      <c r="C63" s="2"/>
      <c r="D63" s="2"/>
      <c r="E63" s="2"/>
      <c r="F63" s="2"/>
      <c r="G63" s="2"/>
      <c r="H63" s="2"/>
    </row>
    <row r="64" customFormat="false" ht="15" hidden="false" customHeight="false" outlineLevel="0" collapsed="false">
      <c r="A64" s="2"/>
      <c r="B64" s="2"/>
      <c r="C64" s="2"/>
      <c r="D64" s="2"/>
      <c r="E64" s="2"/>
      <c r="F64" s="2"/>
      <c r="G64" s="2"/>
      <c r="H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</row>
    <row r="66" customFormat="false" ht="15" hidden="false" customHeight="false" outlineLevel="0" collapsed="false">
      <c r="A66" s="2"/>
      <c r="B66" s="2"/>
      <c r="C66" s="2"/>
      <c r="D66" s="2"/>
      <c r="E66" s="2"/>
      <c r="F66" s="2"/>
      <c r="G66" s="2"/>
      <c r="H66" s="2"/>
    </row>
    <row r="67" customFormat="false" ht="15" hidden="false" customHeight="false" outlineLevel="0" collapsed="false">
      <c r="A67" s="2"/>
      <c r="B67" s="2"/>
      <c r="C67" s="2"/>
      <c r="D67" s="2"/>
      <c r="E67" s="2"/>
      <c r="F67" s="2"/>
      <c r="G67" s="2"/>
      <c r="H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"/>
      <c r="H70" s="2"/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</row>
    <row r="250" customFormat="false" ht="15.7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</row>
    <row r="251" customFormat="false" ht="15.7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</row>
    <row r="252" customFormat="false" ht="15.7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</row>
    <row r="253" customFormat="false" ht="15.7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</row>
    <row r="254" customFormat="false" ht="15.7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</row>
    <row r="255" customFormat="false" ht="15.7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</row>
    <row r="256" customFormat="false" ht="15.7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</row>
    <row r="257" customFormat="false" ht="15.7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</row>
    <row r="258" customFormat="false" ht="15.7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</row>
    <row r="259" customFormat="false" ht="15.7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</row>
    <row r="260" customFormat="false" ht="15.7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</row>
    <row r="261" customFormat="false" ht="15.7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</row>
    <row r="262" customFormat="false" ht="15.7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</row>
    <row r="263" customFormat="false" ht="15.7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</row>
    <row r="264" customFormat="false" ht="15.7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</row>
    <row r="265" customFormat="false" ht="15.7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</row>
    <row r="266" customFormat="false" ht="15.7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</row>
    <row r="267" customFormat="false" ht="15.7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</row>
    <row r="268" customFormat="false" ht="15.7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</row>
    <row r="269" customFormat="false" ht="15.7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</row>
    <row r="270" customFormat="false" ht="15.7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</row>
    <row r="271" customFormat="false" ht="15.7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</row>
    <row r="272" customFormat="false" ht="15.7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</row>
    <row r="273" customFormat="false" ht="15.7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</row>
    <row r="274" customFormat="false" ht="15.7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</row>
    <row r="275" customFormat="false" ht="15.7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</row>
    <row r="276" customFormat="false" ht="15.7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</row>
    <row r="277" customFormat="false" ht="15.7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</row>
    <row r="278" customFormat="false" ht="15.7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</row>
    <row r="279" customFormat="false" ht="15.7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</row>
    <row r="280" customFormat="false" ht="15.7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</row>
    <row r="281" customFormat="false" ht="15.7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</row>
    <row r="282" customFormat="false" ht="15.7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</row>
    <row r="283" customFormat="false" ht="15.7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</row>
    <row r="284" customFormat="false" ht="15.7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</row>
    <row r="285" customFormat="false" ht="15.7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</row>
    <row r="286" customFormat="false" ht="15.7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</row>
    <row r="287" customFormat="false" ht="15.7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</row>
    <row r="288" customFormat="false" ht="15.7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</row>
    <row r="289" customFormat="false" ht="15.7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</row>
    <row r="290" customFormat="false" ht="15.7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</row>
    <row r="291" customFormat="false" ht="15.7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</row>
    <row r="292" customFormat="false" ht="15.7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</row>
    <row r="293" customFormat="false" ht="15.7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</row>
    <row r="294" customFormat="false" ht="15.7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</row>
    <row r="295" customFormat="false" ht="15.7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</row>
    <row r="296" customFormat="false" ht="15.7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</row>
    <row r="297" customFormat="false" ht="15.7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</row>
    <row r="298" customFormat="false" ht="15.7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</row>
    <row r="299" customFormat="false" ht="15.7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</row>
    <row r="300" customFormat="false" ht="15.7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</row>
    <row r="301" customFormat="false" ht="15.7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</row>
    <row r="302" customFormat="false" ht="15.7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</row>
    <row r="303" customFormat="false" ht="15.7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</row>
    <row r="304" customFormat="false" ht="15.7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</row>
    <row r="305" customFormat="false" ht="15.7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</row>
    <row r="306" customFormat="false" ht="15.7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</row>
    <row r="307" customFormat="false" ht="15.7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</row>
    <row r="308" customFormat="false" ht="15.7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</row>
    <row r="309" customFormat="false" ht="15.7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</row>
    <row r="310" customFormat="false" ht="15.7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</row>
    <row r="311" customFormat="false" ht="15.7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</row>
    <row r="312" customFormat="false" ht="15.7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</row>
    <row r="313" customFormat="false" ht="15.7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</row>
    <row r="314" customFormat="false" ht="15.7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</row>
    <row r="315" customFormat="false" ht="15.7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</row>
    <row r="316" customFormat="false" ht="15.7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</row>
    <row r="317" customFormat="false" ht="15.7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</row>
    <row r="318" customFormat="false" ht="15.7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</row>
    <row r="319" customFormat="false" ht="15.7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</row>
    <row r="320" customFormat="false" ht="15.7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</row>
    <row r="321" customFormat="false" ht="15.7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</row>
    <row r="322" customFormat="false" ht="15.7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</row>
    <row r="323" customFormat="false" ht="15.7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</row>
    <row r="324" customFormat="false" ht="15.7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</row>
    <row r="325" customFormat="false" ht="15.7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</row>
    <row r="326" customFormat="false" ht="15.7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</row>
    <row r="327" customFormat="false" ht="15.7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</row>
    <row r="328" customFormat="false" ht="15.7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</row>
    <row r="329" customFormat="false" ht="15.7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</row>
    <row r="330" customFormat="false" ht="15.7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</row>
    <row r="331" customFormat="false" ht="15.7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</row>
    <row r="332" customFormat="false" ht="15.7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</row>
    <row r="333" customFormat="false" ht="15.7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</row>
    <row r="334" customFormat="false" ht="15.7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</row>
    <row r="335" customFormat="false" ht="15.7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</row>
    <row r="336" customFormat="false" ht="15.7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</row>
    <row r="337" customFormat="false" ht="15.7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</row>
    <row r="338" customFormat="false" ht="15.7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</row>
    <row r="339" customFormat="false" ht="15.7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</row>
    <row r="340" customFormat="false" ht="15.7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</row>
    <row r="341" customFormat="false" ht="15.7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</row>
    <row r="342" customFormat="false" ht="15.7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</row>
    <row r="343" customFormat="false" ht="15.7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</row>
    <row r="344" customFormat="false" ht="15.7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</row>
    <row r="345" customFormat="false" ht="15.7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</row>
    <row r="346" customFormat="false" ht="15.7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</row>
    <row r="347" customFormat="false" ht="15.7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</row>
    <row r="348" customFormat="false" ht="15.7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</row>
    <row r="349" customFormat="false" ht="15.7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</row>
    <row r="350" customFormat="false" ht="15.7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</row>
    <row r="351" customFormat="false" ht="15.7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</row>
    <row r="352" customFormat="false" ht="15.7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</row>
    <row r="353" customFormat="false" ht="15.7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</row>
    <row r="354" customFormat="false" ht="15.7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</row>
    <row r="355" customFormat="false" ht="15.7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</row>
    <row r="356" customFormat="false" ht="15.7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</row>
    <row r="357" customFormat="false" ht="15.7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</row>
    <row r="358" customFormat="false" ht="15.7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</row>
    <row r="359" customFormat="false" ht="15.7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</row>
    <row r="360" customFormat="false" ht="15.7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</row>
    <row r="361" customFormat="false" ht="15.7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</row>
    <row r="362" customFormat="false" ht="15.7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</row>
    <row r="363" customFormat="false" ht="15.7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</row>
    <row r="364" customFormat="false" ht="15.7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</row>
    <row r="365" customFormat="false" ht="15.7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</row>
    <row r="366" customFormat="false" ht="15.7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</row>
    <row r="367" customFormat="false" ht="15.7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</row>
    <row r="368" customFormat="false" ht="15.7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</row>
    <row r="369" customFormat="false" ht="15.7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</row>
    <row r="370" customFormat="false" ht="15.7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</row>
    <row r="371" customFormat="false" ht="15.7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</row>
    <row r="372" customFormat="false" ht="15.7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</row>
    <row r="373" customFormat="false" ht="15.7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</row>
    <row r="374" customFormat="false" ht="15.7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</row>
    <row r="375" customFormat="false" ht="15.7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</row>
    <row r="376" customFormat="false" ht="15.7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</row>
    <row r="377" customFormat="false" ht="15.7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</row>
    <row r="378" customFormat="false" ht="15.7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</row>
    <row r="379" customFormat="false" ht="15.7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</row>
    <row r="380" customFormat="false" ht="15.7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</row>
    <row r="381" customFormat="false" ht="15.7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</row>
    <row r="382" customFormat="false" ht="15.7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</row>
    <row r="383" customFormat="false" ht="15.7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</row>
    <row r="384" customFormat="false" ht="15.7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</row>
    <row r="385" customFormat="false" ht="15.7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</row>
    <row r="386" customFormat="false" ht="15.7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</row>
    <row r="387" customFormat="false" ht="15.7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</row>
    <row r="388" customFormat="false" ht="15.7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</row>
    <row r="389" customFormat="false" ht="15.7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</row>
    <row r="390" customFormat="false" ht="15.7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</row>
    <row r="391" customFormat="false" ht="15.7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</row>
    <row r="392" customFormat="false" ht="15.7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</row>
    <row r="393" customFormat="false" ht="15.7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</row>
    <row r="394" customFormat="false" ht="15.7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</row>
    <row r="395" customFormat="false" ht="15.7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</row>
    <row r="396" customFormat="false" ht="15.7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</row>
    <row r="397" customFormat="false" ht="15.7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</row>
    <row r="398" customFormat="false" ht="15.7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</row>
    <row r="399" customFormat="false" ht="15.7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</row>
    <row r="400" customFormat="false" ht="15.7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</row>
    <row r="401" customFormat="false" ht="15.7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</row>
    <row r="402" customFormat="false" ht="15.7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</row>
    <row r="403" customFormat="false" ht="15.7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</row>
    <row r="404" customFormat="false" ht="15.7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</row>
    <row r="405" customFormat="false" ht="15.7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</row>
    <row r="406" customFormat="false" ht="15.7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</row>
    <row r="407" customFormat="false" ht="15.7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</row>
    <row r="408" customFormat="false" ht="15.7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</row>
    <row r="409" customFormat="false" ht="15.7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</row>
    <row r="410" customFormat="false" ht="15.7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</row>
    <row r="411" customFormat="false" ht="15.7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</row>
    <row r="412" customFormat="false" ht="15.7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</row>
    <row r="413" customFormat="false" ht="15.7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</row>
    <row r="414" customFormat="false" ht="15.7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</row>
    <row r="415" customFormat="false" ht="15.7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</row>
    <row r="416" customFormat="false" ht="15.7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</row>
    <row r="417" customFormat="false" ht="15.7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</row>
    <row r="418" customFormat="false" ht="15.7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</row>
    <row r="419" customFormat="false" ht="15.7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</row>
    <row r="420" customFormat="false" ht="15.7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</row>
    <row r="421" customFormat="false" ht="15.7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</row>
    <row r="422" customFormat="false" ht="15.7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</row>
    <row r="423" customFormat="false" ht="15.7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</row>
    <row r="424" customFormat="false" ht="15.7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</row>
    <row r="425" customFormat="false" ht="15.7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</row>
    <row r="426" customFormat="false" ht="15.7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</row>
    <row r="427" customFormat="false" ht="15.7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</row>
    <row r="428" customFormat="false" ht="15.7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</row>
    <row r="429" customFormat="false" ht="15.7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</row>
    <row r="430" customFormat="false" ht="15.7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</row>
    <row r="431" customFormat="false" ht="15.7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</row>
    <row r="432" customFormat="false" ht="15.7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</row>
    <row r="433" customFormat="false" ht="15.7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</row>
    <row r="434" customFormat="false" ht="15.7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</row>
    <row r="435" customFormat="false" ht="15.7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</row>
    <row r="436" customFormat="false" ht="15.7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</row>
    <row r="437" customFormat="false" ht="15.7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</row>
    <row r="438" customFormat="false" ht="15.7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</row>
    <row r="439" customFormat="false" ht="15.7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</row>
    <row r="440" customFormat="false" ht="15.7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</row>
    <row r="441" customFormat="false" ht="15.7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</row>
    <row r="442" customFormat="false" ht="15.7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</row>
    <row r="443" customFormat="false" ht="15.7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</row>
    <row r="444" customFormat="false" ht="15.7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</row>
    <row r="445" customFormat="false" ht="15.7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</row>
    <row r="446" customFormat="false" ht="15.7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</row>
    <row r="447" customFormat="false" ht="15.7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</row>
    <row r="448" customFormat="false" ht="15.7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</row>
    <row r="449" customFormat="false" ht="15.7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</row>
    <row r="450" customFormat="false" ht="15.7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</row>
    <row r="451" customFormat="false" ht="15.7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</row>
    <row r="452" customFormat="false" ht="15.7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</row>
    <row r="453" customFormat="false" ht="15.7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</row>
    <row r="454" customFormat="false" ht="15.7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</row>
    <row r="455" customFormat="false" ht="15.7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</row>
    <row r="456" customFormat="false" ht="15.7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</row>
    <row r="457" customFormat="false" ht="15.7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</row>
    <row r="458" customFormat="false" ht="15.7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</row>
    <row r="459" customFormat="false" ht="15.7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</row>
    <row r="460" customFormat="false" ht="15.7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</row>
    <row r="461" customFormat="false" ht="15.7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</row>
    <row r="462" customFormat="false" ht="15.7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</row>
    <row r="463" customFormat="false" ht="15.7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</row>
    <row r="464" customFormat="false" ht="15.7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</row>
    <row r="465" customFormat="false" ht="15.7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</row>
    <row r="466" customFormat="false" ht="15.7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</row>
    <row r="467" customFormat="false" ht="15.7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</row>
    <row r="468" customFormat="false" ht="15.7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</row>
    <row r="469" customFormat="false" ht="15.7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</row>
    <row r="470" customFormat="false" ht="15.7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</row>
    <row r="471" customFormat="false" ht="15.7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</row>
    <row r="472" customFormat="false" ht="15.7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</row>
    <row r="473" customFormat="false" ht="15.7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</row>
    <row r="474" customFormat="false" ht="15.7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</row>
    <row r="475" customFormat="false" ht="15.7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</row>
    <row r="476" customFormat="false" ht="15.7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</row>
    <row r="477" customFormat="false" ht="15.7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</row>
    <row r="478" customFormat="false" ht="15.7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</row>
    <row r="479" customFormat="false" ht="15.7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</row>
    <row r="480" customFormat="false" ht="15.7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</row>
    <row r="481" customFormat="false" ht="15.7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</row>
    <row r="482" customFormat="false" ht="15.7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</row>
    <row r="483" customFormat="false" ht="15.7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</row>
    <row r="484" customFormat="false" ht="15.7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</row>
    <row r="485" customFormat="false" ht="15.7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</row>
    <row r="486" customFormat="false" ht="15.7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</row>
    <row r="487" customFormat="false" ht="15.7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</row>
    <row r="488" customFormat="false" ht="15.7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</row>
    <row r="489" customFormat="false" ht="15.7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</row>
    <row r="490" customFormat="false" ht="15.7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</row>
    <row r="491" customFormat="false" ht="15.7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</row>
    <row r="492" customFormat="false" ht="15.7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</row>
    <row r="493" customFormat="false" ht="15.7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</row>
    <row r="494" customFormat="false" ht="15.7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</row>
    <row r="495" customFormat="false" ht="15.7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</row>
    <row r="496" customFormat="false" ht="15.7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</row>
    <row r="497" customFormat="false" ht="15.7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</row>
    <row r="498" customFormat="false" ht="15.7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</row>
    <row r="499" customFormat="false" ht="15.7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</row>
    <row r="500" customFormat="false" ht="15.7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</row>
    <row r="501" customFormat="false" ht="15.7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</row>
    <row r="502" customFormat="false" ht="15.7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</row>
    <row r="503" customFormat="false" ht="15.7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</row>
    <row r="504" customFormat="false" ht="15.7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</row>
    <row r="505" customFormat="false" ht="15.7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</row>
    <row r="506" customFormat="false" ht="15.7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</row>
    <row r="507" customFormat="false" ht="15.7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</row>
    <row r="508" customFormat="false" ht="15.7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</row>
    <row r="509" customFormat="false" ht="15.7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</row>
    <row r="510" customFormat="false" ht="15.7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</row>
    <row r="511" customFormat="false" ht="15.7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</row>
    <row r="512" customFormat="false" ht="15.7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</row>
    <row r="513" customFormat="false" ht="15.7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</row>
    <row r="514" customFormat="false" ht="15.7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</row>
    <row r="515" customFormat="false" ht="15.7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</row>
    <row r="516" customFormat="false" ht="15.7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</row>
    <row r="517" customFormat="false" ht="15.7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</row>
    <row r="518" customFormat="false" ht="15.7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</row>
    <row r="519" customFormat="false" ht="15.7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</row>
    <row r="520" customFormat="false" ht="15.7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</row>
    <row r="521" customFormat="false" ht="15.7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</row>
    <row r="522" customFormat="false" ht="15.7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</row>
    <row r="523" customFormat="false" ht="15.7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</row>
    <row r="524" customFormat="false" ht="15.7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</row>
    <row r="525" customFormat="false" ht="15.7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</row>
    <row r="526" customFormat="false" ht="15.7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</row>
    <row r="527" customFormat="false" ht="15.7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</row>
    <row r="528" customFormat="false" ht="15.7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</row>
    <row r="529" customFormat="false" ht="15.7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</row>
    <row r="530" customFormat="false" ht="15.7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</row>
    <row r="531" customFormat="false" ht="15.7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</row>
    <row r="532" customFormat="false" ht="15.7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</row>
    <row r="533" customFormat="false" ht="15.7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</row>
    <row r="534" customFormat="false" ht="15.7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</row>
    <row r="535" customFormat="false" ht="15.7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</row>
    <row r="536" customFormat="false" ht="15.7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</row>
    <row r="537" customFormat="false" ht="15.7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</row>
    <row r="538" customFormat="false" ht="15.7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</row>
    <row r="539" customFormat="false" ht="15.7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</row>
    <row r="540" customFormat="false" ht="15.7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</row>
    <row r="541" customFormat="false" ht="15.7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</row>
    <row r="542" customFormat="false" ht="15.7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</row>
    <row r="543" customFormat="false" ht="15.7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</row>
    <row r="544" customFormat="false" ht="15.7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</row>
    <row r="545" customFormat="false" ht="15.7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</row>
    <row r="546" customFormat="false" ht="15.7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</row>
    <row r="547" customFormat="false" ht="15.7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</row>
    <row r="548" customFormat="false" ht="15.7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</row>
    <row r="549" customFormat="false" ht="15.7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</row>
    <row r="550" customFormat="false" ht="15.7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</row>
    <row r="551" customFormat="false" ht="15.7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</row>
    <row r="552" customFormat="false" ht="15.7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</row>
    <row r="553" customFormat="false" ht="15.7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</row>
    <row r="554" customFormat="false" ht="15.7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</row>
    <row r="555" customFormat="false" ht="15.7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</row>
    <row r="556" customFormat="false" ht="15.7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</row>
    <row r="557" customFormat="false" ht="15.7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</row>
    <row r="558" customFormat="false" ht="15.7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</row>
    <row r="559" customFormat="false" ht="15.7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</row>
    <row r="560" customFormat="false" ht="15.7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</row>
    <row r="561" customFormat="false" ht="15.7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</row>
    <row r="562" customFormat="false" ht="15.7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</row>
    <row r="563" customFormat="false" ht="15.7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</row>
    <row r="564" customFormat="false" ht="15.7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</row>
    <row r="565" customFormat="false" ht="15.7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</row>
    <row r="566" customFormat="false" ht="15.7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</row>
    <row r="567" customFormat="false" ht="15.7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</row>
    <row r="568" customFormat="false" ht="15.7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</row>
    <row r="569" customFormat="false" ht="15.7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</row>
    <row r="570" customFormat="false" ht="15.7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</row>
    <row r="571" customFormat="false" ht="15.7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</row>
    <row r="572" customFormat="false" ht="15.7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</row>
    <row r="573" customFormat="false" ht="15.7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</row>
    <row r="574" customFormat="false" ht="15.7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</row>
    <row r="575" customFormat="false" ht="15.7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</row>
    <row r="576" customFormat="false" ht="15.7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</row>
    <row r="577" customFormat="false" ht="15.7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</row>
    <row r="578" customFormat="false" ht="15.7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</row>
    <row r="579" customFormat="false" ht="15.7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</row>
    <row r="580" customFormat="false" ht="15.7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</row>
    <row r="581" customFormat="false" ht="15.7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</row>
    <row r="582" customFormat="false" ht="15.7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</row>
    <row r="583" customFormat="false" ht="15.7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</row>
    <row r="584" customFormat="false" ht="15.7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</row>
    <row r="585" customFormat="false" ht="15.7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</row>
    <row r="586" customFormat="false" ht="15.7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</row>
    <row r="587" customFormat="false" ht="15.7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</row>
    <row r="588" customFormat="false" ht="15.7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</row>
    <row r="589" customFormat="false" ht="15.7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</row>
    <row r="590" customFormat="false" ht="15.7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</row>
    <row r="591" customFormat="false" ht="15.7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</row>
    <row r="592" customFormat="false" ht="15.7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</row>
    <row r="593" customFormat="false" ht="15.7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</row>
    <row r="594" customFormat="false" ht="15.7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</row>
    <row r="595" customFormat="false" ht="15.7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</row>
    <row r="596" customFormat="false" ht="15.7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</row>
    <row r="597" customFormat="false" ht="15.7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</row>
    <row r="598" customFormat="false" ht="15.7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</row>
    <row r="599" customFormat="false" ht="15.7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</row>
    <row r="600" customFormat="false" ht="15.7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</row>
    <row r="601" customFormat="false" ht="15.7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</row>
    <row r="602" customFormat="false" ht="15.7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</row>
    <row r="603" customFormat="false" ht="15.7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</row>
    <row r="604" customFormat="false" ht="15.7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</row>
    <row r="605" customFormat="false" ht="15.7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</row>
    <row r="606" customFormat="false" ht="15.7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</row>
    <row r="607" customFormat="false" ht="15.7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</row>
    <row r="608" customFormat="false" ht="15.7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</row>
    <row r="609" customFormat="false" ht="15.7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</row>
    <row r="610" customFormat="false" ht="15.7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</row>
    <row r="611" customFormat="false" ht="15.7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</row>
    <row r="612" customFormat="false" ht="15.7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</row>
    <row r="613" customFormat="false" ht="15.7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</row>
    <row r="614" customFormat="false" ht="15.7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</row>
    <row r="615" customFormat="false" ht="15.7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</row>
    <row r="616" customFormat="false" ht="15.7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</row>
    <row r="617" customFormat="false" ht="15.7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</row>
    <row r="618" customFormat="false" ht="15.7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</row>
    <row r="619" customFormat="false" ht="15.7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</row>
    <row r="620" customFormat="false" ht="15.7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</row>
    <row r="621" customFormat="false" ht="15.7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</row>
    <row r="622" customFormat="false" ht="15.7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</row>
    <row r="623" customFormat="false" ht="15.7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</row>
    <row r="624" customFormat="false" ht="15.7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</row>
    <row r="625" customFormat="false" ht="15.7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</row>
    <row r="626" customFormat="false" ht="15.7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</row>
    <row r="627" customFormat="false" ht="15.7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</row>
    <row r="628" customFormat="false" ht="15.7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</row>
    <row r="629" customFormat="false" ht="15.7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</row>
    <row r="630" customFormat="false" ht="15.7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</row>
    <row r="631" customFormat="false" ht="15.7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</row>
    <row r="632" customFormat="false" ht="15.7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</row>
    <row r="633" customFormat="false" ht="15.7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</row>
    <row r="634" customFormat="false" ht="15.7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</row>
    <row r="635" customFormat="false" ht="15.7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</row>
    <row r="636" customFormat="false" ht="15.7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</row>
    <row r="637" customFormat="false" ht="15.7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</row>
    <row r="638" customFormat="false" ht="15.7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</row>
    <row r="639" customFormat="false" ht="15.7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</row>
    <row r="640" customFormat="false" ht="15.7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</row>
    <row r="641" customFormat="false" ht="15.7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</row>
    <row r="642" customFormat="false" ht="15.7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</row>
    <row r="643" customFormat="false" ht="15.7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</row>
    <row r="644" customFormat="false" ht="15.7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</row>
    <row r="645" customFormat="false" ht="15.7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</row>
    <row r="646" customFormat="false" ht="15.7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</row>
    <row r="647" customFormat="false" ht="15.7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</row>
    <row r="648" customFormat="false" ht="15.7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</row>
    <row r="649" customFormat="false" ht="15.7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</row>
    <row r="650" customFormat="false" ht="15.7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</row>
    <row r="651" customFormat="false" ht="15.7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</row>
    <row r="652" customFormat="false" ht="15.7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</row>
    <row r="653" customFormat="false" ht="15.7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</row>
    <row r="654" customFormat="false" ht="15.7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</row>
    <row r="655" customFormat="false" ht="15.7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</row>
    <row r="656" customFormat="false" ht="15.7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</row>
    <row r="657" customFormat="false" ht="15.7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</row>
    <row r="658" customFormat="false" ht="15.7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</row>
    <row r="659" customFormat="false" ht="15.7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</row>
    <row r="660" customFormat="false" ht="15.7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</row>
    <row r="661" customFormat="false" ht="15.7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</row>
    <row r="662" customFormat="false" ht="15.7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</row>
    <row r="663" customFormat="false" ht="15.7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</row>
    <row r="664" customFormat="false" ht="15.7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</row>
    <row r="665" customFormat="false" ht="15.7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</row>
    <row r="666" customFormat="false" ht="15.7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</row>
    <row r="667" customFormat="false" ht="15.7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</row>
    <row r="668" customFormat="false" ht="15.7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</row>
    <row r="669" customFormat="false" ht="15.7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</row>
    <row r="670" customFormat="false" ht="15.7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</row>
    <row r="671" customFormat="false" ht="15.7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</row>
    <row r="672" customFormat="false" ht="15.7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</row>
    <row r="673" customFormat="false" ht="15.7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</row>
    <row r="674" customFormat="false" ht="15.7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</row>
    <row r="675" customFormat="false" ht="15.7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</row>
    <row r="676" customFormat="false" ht="15.7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</row>
    <row r="677" customFormat="false" ht="15.7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</row>
    <row r="678" customFormat="false" ht="15.7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</row>
    <row r="679" customFormat="false" ht="15.7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</row>
    <row r="680" customFormat="false" ht="15.7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</row>
    <row r="681" customFormat="false" ht="15.7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</row>
    <row r="682" customFormat="false" ht="15.7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</row>
    <row r="683" customFormat="false" ht="15.7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</row>
    <row r="684" customFormat="false" ht="15.7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</row>
    <row r="685" customFormat="false" ht="15.7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</row>
    <row r="686" customFormat="false" ht="15.7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</row>
    <row r="687" customFormat="false" ht="15.7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</row>
    <row r="688" customFormat="false" ht="15.7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</row>
    <row r="689" customFormat="false" ht="15.7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</row>
    <row r="690" customFormat="false" ht="15.7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</row>
    <row r="691" customFormat="false" ht="15.7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</row>
    <row r="692" customFormat="false" ht="15.7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</row>
    <row r="693" customFormat="false" ht="15.7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</row>
    <row r="694" customFormat="false" ht="15.7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</row>
    <row r="695" customFormat="false" ht="15.7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</row>
    <row r="696" customFormat="false" ht="15.7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</row>
    <row r="697" customFormat="false" ht="15.7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</row>
    <row r="698" customFormat="false" ht="15.7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</row>
    <row r="699" customFormat="false" ht="15.7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</row>
    <row r="700" customFormat="false" ht="15.7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</row>
    <row r="701" customFormat="false" ht="15.7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</row>
    <row r="702" customFormat="false" ht="15.7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</row>
    <row r="703" customFormat="false" ht="15.7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</row>
    <row r="704" customFormat="false" ht="15.7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</row>
    <row r="705" customFormat="false" ht="15.7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</row>
    <row r="706" customFormat="false" ht="15.7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</row>
    <row r="707" customFormat="false" ht="15.7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</row>
    <row r="708" customFormat="false" ht="15.7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</row>
    <row r="709" customFormat="false" ht="15.7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</row>
    <row r="710" customFormat="false" ht="15.7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</row>
    <row r="711" customFormat="false" ht="15.7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</row>
    <row r="712" customFormat="false" ht="15.7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</row>
    <row r="713" customFormat="false" ht="15.7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</row>
    <row r="714" customFormat="false" ht="15.7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</row>
    <row r="715" customFormat="false" ht="15.7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</row>
    <row r="716" customFormat="false" ht="15.7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</row>
    <row r="717" customFormat="false" ht="15.7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</row>
    <row r="718" customFormat="false" ht="15.7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</row>
    <row r="719" customFormat="false" ht="15.7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</row>
    <row r="720" customFormat="false" ht="15.7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</row>
    <row r="721" customFormat="false" ht="15.7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</row>
    <row r="722" customFormat="false" ht="15.7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</row>
    <row r="723" customFormat="false" ht="15.7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</row>
    <row r="724" customFormat="false" ht="15.7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</row>
    <row r="725" customFormat="false" ht="15.7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</row>
    <row r="726" customFormat="false" ht="15.7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</row>
    <row r="727" customFormat="false" ht="15.7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</row>
    <row r="728" customFormat="false" ht="15.7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</row>
    <row r="729" customFormat="false" ht="15.7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</row>
    <row r="730" customFormat="false" ht="15.7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</row>
    <row r="731" customFormat="false" ht="15.7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</row>
    <row r="732" customFormat="false" ht="15.7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</row>
    <row r="733" customFormat="false" ht="15.7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</row>
    <row r="734" customFormat="false" ht="15.7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</row>
    <row r="735" customFormat="false" ht="15.7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</row>
    <row r="736" customFormat="false" ht="15.7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</row>
    <row r="737" customFormat="false" ht="15.7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</row>
    <row r="738" customFormat="false" ht="15.7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</row>
    <row r="739" customFormat="false" ht="15.7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</row>
    <row r="740" customFormat="false" ht="15.7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</row>
    <row r="741" customFormat="false" ht="15.7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</row>
    <row r="742" customFormat="false" ht="15.7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</row>
    <row r="743" customFormat="false" ht="15.7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</row>
    <row r="744" customFormat="false" ht="15.7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</row>
    <row r="745" customFormat="false" ht="15.7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</row>
    <row r="746" customFormat="false" ht="15.7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</row>
    <row r="747" customFormat="false" ht="15.7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</row>
    <row r="748" customFormat="false" ht="15.7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</row>
    <row r="749" customFormat="false" ht="15.7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</row>
    <row r="750" customFormat="false" ht="15.7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</row>
    <row r="751" customFormat="false" ht="15.7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</row>
    <row r="752" customFormat="false" ht="15.7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</row>
    <row r="753" customFormat="false" ht="15.7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</row>
    <row r="754" customFormat="false" ht="15.7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</row>
    <row r="755" customFormat="false" ht="15.7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</row>
    <row r="756" customFormat="false" ht="15.7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</row>
    <row r="757" customFormat="false" ht="15.7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</row>
    <row r="758" customFormat="false" ht="15.7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</row>
    <row r="759" customFormat="false" ht="15.7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</row>
    <row r="760" customFormat="false" ht="15.7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</row>
    <row r="761" customFormat="false" ht="15.7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</row>
    <row r="762" customFormat="false" ht="15.7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</row>
    <row r="763" customFormat="false" ht="15.7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</row>
    <row r="764" customFormat="false" ht="15.7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</row>
    <row r="765" customFormat="false" ht="15.7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</row>
    <row r="766" customFormat="false" ht="15.7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</row>
    <row r="767" customFormat="false" ht="15.7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</row>
    <row r="768" customFormat="false" ht="15.7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</row>
    <row r="769" customFormat="false" ht="15.7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</row>
    <row r="770" customFormat="false" ht="15.7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</row>
    <row r="771" customFormat="false" ht="15.7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</row>
    <row r="772" customFormat="false" ht="15.7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</row>
    <row r="773" customFormat="false" ht="15.7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</row>
    <row r="774" customFormat="false" ht="15.7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</row>
    <row r="775" customFormat="false" ht="15.7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</row>
    <row r="776" customFormat="false" ht="15.7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</row>
    <row r="777" customFormat="false" ht="15.7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</row>
    <row r="778" customFormat="false" ht="15.7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</row>
    <row r="779" customFormat="false" ht="15.7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</row>
    <row r="780" customFormat="false" ht="15.7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</row>
    <row r="781" customFormat="false" ht="15.7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</row>
    <row r="782" customFormat="false" ht="15.7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</row>
    <row r="783" customFormat="false" ht="15.7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</row>
    <row r="784" customFormat="false" ht="15.7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</row>
    <row r="785" customFormat="false" ht="15.7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</row>
    <row r="786" customFormat="false" ht="15.7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</row>
    <row r="787" customFormat="false" ht="15.7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</row>
    <row r="788" customFormat="false" ht="15.7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</row>
    <row r="789" customFormat="false" ht="15.7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</row>
    <row r="790" customFormat="false" ht="15.7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</row>
    <row r="791" customFormat="false" ht="15.7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</row>
    <row r="792" customFormat="false" ht="15.7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</row>
    <row r="793" customFormat="false" ht="15.7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</row>
    <row r="794" customFormat="false" ht="15.7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</row>
    <row r="795" customFormat="false" ht="15.7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</row>
    <row r="796" customFormat="false" ht="15.7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</row>
    <row r="797" customFormat="false" ht="15.7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</row>
    <row r="798" customFormat="false" ht="15.7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</row>
    <row r="799" customFormat="false" ht="15.7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</row>
    <row r="800" customFormat="false" ht="15.7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</row>
    <row r="801" customFormat="false" ht="15.7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</row>
    <row r="802" customFormat="false" ht="15.7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</row>
    <row r="803" customFormat="false" ht="15.7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</row>
    <row r="804" customFormat="false" ht="15.7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</row>
    <row r="805" customFormat="false" ht="15.7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</row>
    <row r="806" customFormat="false" ht="15.7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</row>
    <row r="807" customFormat="false" ht="15.7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</row>
    <row r="808" customFormat="false" ht="15.7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</row>
    <row r="809" customFormat="false" ht="15.7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</row>
    <row r="810" customFormat="false" ht="15.7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</row>
    <row r="811" customFormat="false" ht="15.7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</row>
    <row r="812" customFormat="false" ht="15.7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</row>
    <row r="813" customFormat="false" ht="15.7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</row>
    <row r="814" customFormat="false" ht="15.7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</row>
    <row r="815" customFormat="false" ht="15.7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</row>
    <row r="816" customFormat="false" ht="15.7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</row>
    <row r="817" customFormat="false" ht="15.7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</row>
    <row r="818" customFormat="false" ht="15.7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</row>
    <row r="819" customFormat="false" ht="15.7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</row>
    <row r="820" customFormat="false" ht="15.7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</row>
    <row r="821" customFormat="false" ht="15.7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</row>
    <row r="822" customFormat="false" ht="15.7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</row>
    <row r="823" customFormat="false" ht="15.7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</row>
    <row r="824" customFormat="false" ht="15.7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</row>
    <row r="825" customFormat="false" ht="15.7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</row>
    <row r="826" customFormat="false" ht="15.7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</row>
    <row r="827" customFormat="false" ht="15.7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</row>
    <row r="828" customFormat="false" ht="15.7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</row>
    <row r="829" customFormat="false" ht="15.7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</row>
    <row r="830" customFormat="false" ht="15.7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</row>
    <row r="831" customFormat="false" ht="15.7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</row>
    <row r="832" customFormat="false" ht="15.7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</row>
    <row r="833" customFormat="false" ht="15.7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</row>
    <row r="834" customFormat="false" ht="15.7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</row>
    <row r="835" customFormat="false" ht="15.7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</row>
    <row r="836" customFormat="false" ht="15.7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</row>
    <row r="837" customFormat="false" ht="15.7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</row>
    <row r="838" customFormat="false" ht="15.7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</row>
    <row r="839" customFormat="false" ht="15.7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</row>
    <row r="840" customFormat="false" ht="15.7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</row>
    <row r="841" customFormat="false" ht="15.7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</row>
    <row r="842" customFormat="false" ht="15.7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</row>
    <row r="843" customFormat="false" ht="15.7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</row>
    <row r="844" customFormat="false" ht="15.7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</row>
    <row r="845" customFormat="false" ht="15.7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</row>
    <row r="846" customFormat="false" ht="15.7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</row>
    <row r="847" customFormat="false" ht="15.7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</row>
    <row r="848" customFormat="false" ht="15.7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</row>
    <row r="849" customFormat="false" ht="15.7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</row>
    <row r="850" customFormat="false" ht="15.7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</row>
    <row r="851" customFormat="false" ht="15.7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</row>
    <row r="852" customFormat="false" ht="15.7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</row>
    <row r="853" customFormat="false" ht="15.7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</row>
    <row r="854" customFormat="false" ht="15.7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</row>
    <row r="855" customFormat="false" ht="15.7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</row>
    <row r="856" customFormat="false" ht="15.7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</row>
    <row r="857" customFormat="false" ht="15.7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</row>
    <row r="858" customFormat="false" ht="15.7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</row>
    <row r="859" customFormat="false" ht="15.7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</row>
    <row r="860" customFormat="false" ht="15.7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</row>
    <row r="861" customFormat="false" ht="15.7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</row>
    <row r="862" customFormat="false" ht="15.7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</row>
    <row r="863" customFormat="false" ht="15.7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</row>
    <row r="864" customFormat="false" ht="15.7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</row>
    <row r="865" customFormat="false" ht="15.7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</row>
    <row r="866" customFormat="false" ht="15.7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</row>
    <row r="867" customFormat="false" ht="15.7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</row>
    <row r="868" customFormat="false" ht="15.7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</row>
    <row r="869" customFormat="false" ht="15.7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</row>
    <row r="870" customFormat="false" ht="15.7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</row>
    <row r="871" customFormat="false" ht="15.7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</row>
    <row r="872" customFormat="false" ht="15.7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</row>
    <row r="873" customFormat="false" ht="15.7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</row>
    <row r="874" customFormat="false" ht="15.7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</row>
    <row r="875" customFormat="false" ht="15.7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</row>
    <row r="876" customFormat="false" ht="15.7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</row>
    <row r="877" customFormat="false" ht="15.7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</row>
    <row r="878" customFormat="false" ht="15.7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</row>
    <row r="879" customFormat="false" ht="15.7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</row>
    <row r="880" customFormat="false" ht="15.7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</row>
    <row r="881" customFormat="false" ht="15.7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</row>
    <row r="882" customFormat="false" ht="15.7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</row>
    <row r="883" customFormat="false" ht="15.7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</row>
    <row r="884" customFormat="false" ht="15.7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</row>
    <row r="885" customFormat="false" ht="15.7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</row>
    <row r="886" customFormat="false" ht="15.7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</row>
    <row r="887" customFormat="false" ht="15.7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</row>
    <row r="888" customFormat="false" ht="15.7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</row>
    <row r="889" customFormat="false" ht="15.7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</row>
    <row r="890" customFormat="false" ht="15.7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</row>
    <row r="891" customFormat="false" ht="15.7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</row>
    <row r="892" customFormat="false" ht="15.7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</row>
    <row r="893" customFormat="false" ht="15.7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</row>
    <row r="894" customFormat="false" ht="15.7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</row>
    <row r="895" customFormat="false" ht="15.7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</row>
    <row r="896" customFormat="false" ht="15.7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</row>
    <row r="897" customFormat="false" ht="15.7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</row>
    <row r="898" customFormat="false" ht="15.7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</row>
    <row r="899" customFormat="false" ht="15.7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</row>
    <row r="900" customFormat="false" ht="15.7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</row>
    <row r="901" customFormat="false" ht="15.7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</row>
    <row r="902" customFormat="false" ht="15.7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</row>
    <row r="903" customFormat="false" ht="15.7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</row>
    <row r="904" customFormat="false" ht="15.7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</row>
    <row r="905" customFormat="false" ht="15.7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</row>
    <row r="906" customFormat="false" ht="15.7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</row>
    <row r="907" customFormat="false" ht="15.7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</row>
    <row r="908" customFormat="false" ht="15.7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</row>
    <row r="909" customFormat="false" ht="15.7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</row>
    <row r="910" customFormat="false" ht="15.7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</row>
    <row r="911" customFormat="false" ht="15.7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</row>
    <row r="912" customFormat="false" ht="15.7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</row>
    <row r="913" customFormat="false" ht="15.7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</row>
    <row r="914" customFormat="false" ht="15.7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</row>
    <row r="915" customFormat="false" ht="15.7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</row>
    <row r="916" customFormat="false" ht="15.7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</row>
    <row r="917" customFormat="false" ht="15.7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</row>
    <row r="918" customFormat="false" ht="15.7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</row>
    <row r="919" customFormat="false" ht="15.7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</row>
    <row r="920" customFormat="false" ht="15.7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</row>
    <row r="921" customFormat="false" ht="15.7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</row>
    <row r="922" customFormat="false" ht="15.7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</row>
    <row r="923" customFormat="false" ht="15.7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</row>
    <row r="924" customFormat="false" ht="15.7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</row>
    <row r="925" customFormat="false" ht="15.7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</row>
    <row r="926" customFormat="false" ht="15.7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</row>
    <row r="927" customFormat="false" ht="15.7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</row>
    <row r="928" customFormat="false" ht="15.7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</row>
    <row r="929" customFormat="false" ht="15.7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</row>
    <row r="930" customFormat="false" ht="15.7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</row>
    <row r="931" customFormat="false" ht="15.7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</row>
    <row r="932" customFormat="false" ht="15.7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</row>
    <row r="933" customFormat="false" ht="15.7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</row>
    <row r="934" customFormat="false" ht="15.7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</row>
    <row r="935" customFormat="false" ht="15.7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</row>
    <row r="936" customFormat="false" ht="15.7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</row>
    <row r="937" customFormat="false" ht="15.7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</row>
    <row r="938" customFormat="false" ht="15.7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</row>
    <row r="939" customFormat="false" ht="15.7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</row>
    <row r="940" customFormat="false" ht="15.7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</row>
    <row r="941" customFormat="false" ht="15.7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</row>
    <row r="942" customFormat="false" ht="15.7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</row>
    <row r="943" customFormat="false" ht="15.7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</row>
    <row r="944" customFormat="false" ht="15.7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</row>
    <row r="945" customFormat="false" ht="15.7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</row>
    <row r="946" customFormat="false" ht="15.7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</row>
    <row r="947" customFormat="false" ht="15.7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</row>
    <row r="948" customFormat="false" ht="15.7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</row>
    <row r="949" customFormat="false" ht="15.7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</row>
    <row r="950" customFormat="false" ht="15.7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</row>
    <row r="951" customFormat="false" ht="15.7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</row>
    <row r="952" customFormat="false" ht="15.7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</row>
    <row r="953" customFormat="false" ht="15.7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</row>
    <row r="954" customFormat="false" ht="15.7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</row>
    <row r="955" customFormat="false" ht="15.7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</row>
    <row r="956" customFormat="false" ht="15.7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</row>
    <row r="957" customFormat="false" ht="15.7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</row>
    <row r="958" customFormat="false" ht="15.7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</row>
    <row r="959" customFormat="false" ht="15.7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</row>
    <row r="960" customFormat="false" ht="15.7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</row>
    <row r="961" customFormat="false" ht="15.7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</row>
    <row r="962" customFormat="false" ht="15.7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</row>
    <row r="963" customFormat="false" ht="15.7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</row>
    <row r="964" customFormat="false" ht="15.7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</row>
    <row r="965" customFormat="false" ht="15.7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</row>
    <row r="966" customFormat="false" ht="15.7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</row>
    <row r="967" customFormat="false" ht="15.7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</row>
    <row r="968" customFormat="false" ht="15.7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</row>
    <row r="969" customFormat="false" ht="15.7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</row>
    <row r="970" customFormat="false" ht="15.7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</row>
    <row r="971" customFormat="false" ht="15.7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</row>
    <row r="972" customFormat="false" ht="15.7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</row>
    <row r="973" customFormat="false" ht="15.7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</row>
    <row r="974" customFormat="false" ht="15.7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</row>
    <row r="975" customFormat="false" ht="15.7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</row>
    <row r="976" customFormat="false" ht="15.7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</row>
    <row r="977" customFormat="false" ht="15.7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</row>
    <row r="978" customFormat="false" ht="15.7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</row>
    <row r="979" customFormat="false" ht="15.7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</row>
    <row r="980" customFormat="false" ht="15.7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</row>
    <row r="981" customFormat="false" ht="15.7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</row>
    <row r="982" customFormat="false" ht="15.7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</row>
    <row r="983" customFormat="false" ht="15.7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</row>
    <row r="984" customFormat="false" ht="15.7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</row>
    <row r="985" customFormat="false" ht="15.7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</row>
    <row r="986" customFormat="false" ht="15.7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</row>
    <row r="987" customFormat="false" ht="15.7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</row>
    <row r="988" customFormat="false" ht="15.7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</row>
    <row r="989" customFormat="false" ht="15.7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</row>
    <row r="990" customFormat="false" ht="15.7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</row>
    <row r="991" customFormat="false" ht="15.7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</row>
    <row r="992" customFormat="false" ht="15.7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</row>
    <row r="993" customFormat="false" ht="15.7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</row>
    <row r="994" customFormat="false" ht="15.7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</row>
    <row r="995" customFormat="false" ht="15.7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</row>
    <row r="996" customFormat="false" ht="15.7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</row>
    <row r="997" customFormat="false" ht="15.75" hidden="false" customHeight="true" outlineLevel="0" collapsed="false">
      <c r="A997" s="2"/>
      <c r="B997" s="2"/>
      <c r="C997" s="2"/>
      <c r="D997" s="2"/>
      <c r="E997" s="2"/>
      <c r="F997" s="2"/>
      <c r="G997" s="2"/>
      <c r="H997" s="2"/>
    </row>
    <row r="998" customFormat="false" ht="15.75" hidden="false" customHeight="true" outlineLevel="0" collapsed="false">
      <c r="A998" s="2"/>
      <c r="B998" s="2"/>
      <c r="C998" s="2"/>
      <c r="D998" s="2"/>
      <c r="E998" s="2"/>
      <c r="F998" s="2"/>
      <c r="G998" s="2"/>
      <c r="H998" s="2"/>
    </row>
    <row r="999" customFormat="false" ht="15.75" hidden="false" customHeight="true" outlineLevel="0" collapsed="false">
      <c r="A999" s="2"/>
      <c r="B999" s="2"/>
      <c r="C999" s="2"/>
      <c r="D999" s="2"/>
      <c r="E999" s="2"/>
      <c r="F999" s="2"/>
      <c r="G999" s="2"/>
      <c r="H999" s="2"/>
    </row>
    <row r="1000" customFormat="false" ht="15.75" hidden="false" customHeight="true" outlineLevel="0" collapsed="false">
      <c r="A1000" s="2"/>
      <c r="B1000" s="2"/>
      <c r="C1000" s="2"/>
      <c r="D1000" s="2"/>
      <c r="E1000" s="2"/>
      <c r="F1000" s="2"/>
      <c r="G1000" s="2"/>
      <c r="H1000" s="2"/>
    </row>
  </sheetData>
  <mergeCells count="22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1:G31"/>
    <mergeCell ref="B32:H32"/>
    <mergeCell ref="D34:H34"/>
    <mergeCell ref="B39:G39"/>
    <mergeCell ref="B40:G40"/>
    <mergeCell ref="B41:G41"/>
    <mergeCell ref="B43:G43"/>
    <mergeCell ref="B44:G44"/>
    <mergeCell ref="B45:G45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9.7" hidden="false" customHeight="false" outlineLevel="0" collapsed="false">
      <c r="A2" s="2"/>
      <c r="B2" s="3" t="s">
        <v>849</v>
      </c>
      <c r="C2" s="3"/>
      <c r="D2" s="3"/>
      <c r="E2" s="3"/>
      <c r="F2" s="3"/>
      <c r="G2" s="3"/>
      <c r="H2" s="3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2"/>
      <c r="B4" s="4" t="s">
        <v>785</v>
      </c>
      <c r="C4" s="14" t="s">
        <v>847</v>
      </c>
      <c r="D4" s="14"/>
      <c r="E4" s="14"/>
      <c r="F4" s="14"/>
      <c r="G4" s="14"/>
      <c r="H4" s="14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15" hidden="false" customHeight="false" outlineLevel="0" collapsed="false">
      <c r="A5" s="2"/>
      <c r="B5" s="4" t="s">
        <v>787</v>
      </c>
      <c r="C5" s="14" t="s">
        <v>850</v>
      </c>
      <c r="D5" s="14"/>
      <c r="E5" s="14"/>
      <c r="F5" s="14"/>
      <c r="G5" s="14"/>
      <c r="H5" s="14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15" hidden="false" customHeight="false" outlineLevel="0" collapsed="false">
      <c r="A6" s="2"/>
      <c r="B6" s="4" t="s">
        <v>18</v>
      </c>
      <c r="C6" s="14" t="s">
        <v>826</v>
      </c>
      <c r="D6" s="14"/>
      <c r="E6" s="14"/>
      <c r="F6" s="14"/>
      <c r="G6" s="14"/>
      <c r="H6" s="14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15" hidden="false" customHeight="false" outlineLevel="0" collapsed="false">
      <c r="A7" s="2"/>
      <c r="B7" s="4" t="s">
        <v>790</v>
      </c>
      <c r="C7" s="14" t="s">
        <v>845</v>
      </c>
      <c r="D7" s="14"/>
      <c r="E7" s="14"/>
      <c r="F7" s="14"/>
      <c r="G7" s="14"/>
      <c r="H7" s="14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15" hidden="false" customHeight="false" outlineLevel="0" collapsed="false">
      <c r="A8" s="2"/>
      <c r="B8" s="4" t="s">
        <v>792</v>
      </c>
      <c r="C8" s="32" t="n">
        <f aca="false">RINGKASAN!$K$20</f>
        <v>116200487</v>
      </c>
      <c r="D8" s="32"/>
      <c r="E8" s="32"/>
      <c r="F8" s="32"/>
      <c r="G8" s="32"/>
      <c r="H8" s="3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15" hidden="false" customHeight="false" outlineLevel="0" collapsed="false">
      <c r="A9" s="2"/>
      <c r="B9" s="4" t="s">
        <v>81</v>
      </c>
      <c r="C9" s="14" t="s">
        <v>793</v>
      </c>
      <c r="D9" s="14"/>
      <c r="E9" s="14"/>
      <c r="F9" s="14"/>
      <c r="G9" s="14"/>
      <c r="H9" s="14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15" hidden="false" customHeight="false" outlineLevel="0" collapsed="false">
      <c r="A10" s="2"/>
      <c r="B10" s="4" t="s">
        <v>9</v>
      </c>
      <c r="C10" s="14" t="s">
        <v>10</v>
      </c>
      <c r="D10" s="14"/>
      <c r="E10" s="14"/>
      <c r="F10" s="14"/>
      <c r="G10" s="14"/>
      <c r="H10" s="14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21.75" hidden="false" customHeight="true" outlineLevel="0" collapsed="false">
      <c r="A12" s="2"/>
      <c r="B12" s="15" t="s">
        <v>794</v>
      </c>
      <c r="C12" s="15"/>
      <c r="D12" s="15"/>
      <c r="E12" s="15"/>
      <c r="F12" s="15"/>
      <c r="G12" s="15"/>
      <c r="H12" s="15"/>
    </row>
    <row r="13" customFormat="false" ht="27.75" hidden="false" customHeight="true" outlineLevel="0" collapsed="false">
      <c r="A13" s="2"/>
      <c r="B13" s="7" t="s">
        <v>16</v>
      </c>
      <c r="C13" s="7" t="s">
        <v>795</v>
      </c>
      <c r="D13" s="7" t="s">
        <v>796</v>
      </c>
      <c r="E13" s="7" t="s">
        <v>797</v>
      </c>
      <c r="F13" s="7" t="s">
        <v>89</v>
      </c>
      <c r="G13" s="7" t="s">
        <v>90</v>
      </c>
      <c r="H13" s="7" t="s">
        <v>798</v>
      </c>
    </row>
    <row r="14" customFormat="false" ht="21.75" hidden="false" customHeight="true" outlineLevel="0" collapsed="false">
      <c r="A14" s="2"/>
      <c r="B14" s="33" t="s">
        <v>799</v>
      </c>
      <c r="C14" s="34" t="s">
        <v>800</v>
      </c>
      <c r="D14" s="35"/>
      <c r="E14" s="35"/>
      <c r="F14" s="35"/>
      <c r="G14" s="35"/>
      <c r="H14" s="35"/>
    </row>
    <row r="15" customFormat="false" ht="36" hidden="false" customHeight="true" outlineLevel="0" collapsed="false">
      <c r="A15" s="2"/>
      <c r="B15" s="9" t="s">
        <v>801</v>
      </c>
      <c r="C15" s="17" t="s">
        <v>104</v>
      </c>
      <c r="D15" s="36" t="n">
        <v>25</v>
      </c>
      <c r="E15" s="36" t="n">
        <v>25</v>
      </c>
      <c r="F15" s="18" t="s">
        <v>94</v>
      </c>
      <c r="G15" s="8" t="n">
        <f aca="false">'Master of Price'!$G$17</f>
        <v>352000</v>
      </c>
      <c r="H15" s="8" t="n">
        <f aca="false">E15*G15</f>
        <v>8800000</v>
      </c>
    </row>
    <row r="16" customFormat="false" ht="27.75" hidden="false" customHeight="true" outlineLevel="0" collapsed="false">
      <c r="A16" s="2"/>
      <c r="B16" s="9" t="s">
        <v>802</v>
      </c>
      <c r="C16" s="17" t="s">
        <v>96</v>
      </c>
      <c r="D16" s="36" t="n">
        <v>25</v>
      </c>
      <c r="E16" s="36" t="n">
        <v>25</v>
      </c>
      <c r="F16" s="18" t="s">
        <v>94</v>
      </c>
      <c r="G16" s="8" t="n">
        <f aca="false">'Master of Price'!$G$13</f>
        <v>100000</v>
      </c>
      <c r="H16" s="8" t="n">
        <f aca="false">E16*G16</f>
        <v>2500000</v>
      </c>
    </row>
    <row r="17" customFormat="false" ht="27.75" hidden="false" customHeight="true" outlineLevel="0" collapsed="false">
      <c r="A17" s="2"/>
      <c r="B17" s="9" t="s">
        <v>803</v>
      </c>
      <c r="C17" s="17" t="s">
        <v>98</v>
      </c>
      <c r="D17" s="36" t="n">
        <v>25</v>
      </c>
      <c r="E17" s="36" t="n">
        <v>25</v>
      </c>
      <c r="F17" s="18" t="s">
        <v>94</v>
      </c>
      <c r="G17" s="8" t="n">
        <f aca="false">'Master of Price'!$G$14</f>
        <v>28000</v>
      </c>
      <c r="H17" s="8" t="n">
        <f aca="false">E17*G17</f>
        <v>700000</v>
      </c>
    </row>
    <row r="18" customFormat="false" ht="27.75" hidden="false" customHeight="true" outlineLevel="0" collapsed="false">
      <c r="A18" s="2"/>
      <c r="B18" s="9" t="s">
        <v>804</v>
      </c>
      <c r="C18" s="17" t="s">
        <v>100</v>
      </c>
      <c r="D18" s="36" t="n">
        <v>25</v>
      </c>
      <c r="E18" s="36" t="n">
        <v>25</v>
      </c>
      <c r="F18" s="18" t="s">
        <v>94</v>
      </c>
      <c r="G18" s="8" t="n">
        <f aca="false">'Master of Price'!$G$15</f>
        <v>45000</v>
      </c>
      <c r="H18" s="8" t="n">
        <f aca="false">E18*G18</f>
        <v>1125000</v>
      </c>
    </row>
    <row r="19" customFormat="false" ht="27.75" hidden="false" customHeight="true" outlineLevel="0" collapsed="false">
      <c r="A19" s="2"/>
      <c r="B19" s="9" t="s">
        <v>805</v>
      </c>
      <c r="C19" s="17" t="s">
        <v>102</v>
      </c>
      <c r="D19" s="36" t="n">
        <v>25</v>
      </c>
      <c r="E19" s="36" t="n">
        <v>25</v>
      </c>
      <c r="F19" s="18" t="s">
        <v>94</v>
      </c>
      <c r="G19" s="8" t="n">
        <f aca="false">'Master of Price'!$G$16</f>
        <v>75000</v>
      </c>
      <c r="H19" s="8" t="n">
        <f aca="false">E19*G19</f>
        <v>1875000</v>
      </c>
    </row>
    <row r="20" customFormat="false" ht="25.5" hidden="false" customHeight="true" outlineLevel="0" collapsed="false">
      <c r="A20" s="2"/>
      <c r="B20" s="23" t="s">
        <v>806</v>
      </c>
      <c r="C20" s="23"/>
      <c r="D20" s="23"/>
      <c r="E20" s="23"/>
      <c r="F20" s="23"/>
      <c r="G20" s="23"/>
      <c r="H20" s="11" t="n">
        <f aca="false">SUM(H15:H19)</f>
        <v>15000000</v>
      </c>
    </row>
    <row r="21" customFormat="false" ht="21.75" hidden="false" customHeight="true" outlineLevel="0" collapsed="false">
      <c r="A21" s="2"/>
      <c r="B21" s="15" t="s">
        <v>807</v>
      </c>
      <c r="C21" s="15"/>
      <c r="D21" s="15"/>
      <c r="E21" s="15"/>
      <c r="F21" s="15"/>
      <c r="G21" s="15"/>
      <c r="H21" s="15"/>
    </row>
    <row r="22" customFormat="false" ht="27.75" hidden="false" customHeight="true" outlineLevel="0" collapsed="false">
      <c r="A22" s="2"/>
      <c r="B22" s="7" t="s">
        <v>16</v>
      </c>
      <c r="C22" s="7" t="s">
        <v>795</v>
      </c>
      <c r="D22" s="7" t="s">
        <v>796</v>
      </c>
      <c r="E22" s="7" t="s">
        <v>797</v>
      </c>
      <c r="F22" s="7" t="s">
        <v>89</v>
      </c>
      <c r="G22" s="7" t="s">
        <v>90</v>
      </c>
      <c r="H22" s="7" t="s">
        <v>798</v>
      </c>
    </row>
    <row r="23" customFormat="false" ht="21.75" hidden="false" customHeight="true" outlineLevel="0" collapsed="false">
      <c r="A23" s="2"/>
      <c r="B23" s="33" t="s">
        <v>808</v>
      </c>
      <c r="C23" s="34" t="s">
        <v>809</v>
      </c>
      <c r="D23" s="35"/>
      <c r="E23" s="35"/>
      <c r="F23" s="35"/>
      <c r="G23" s="35"/>
      <c r="H23" s="35"/>
    </row>
    <row r="24" customFormat="false" ht="27.75" hidden="false" customHeight="true" outlineLevel="0" collapsed="false">
      <c r="A24" s="2"/>
      <c r="B24" s="9" t="s">
        <v>810</v>
      </c>
      <c r="C24" s="17" t="s">
        <v>116</v>
      </c>
      <c r="D24" s="36" t="n">
        <v>5.07</v>
      </c>
      <c r="E24" s="36" t="n">
        <v>5.07</v>
      </c>
      <c r="F24" s="18" t="s">
        <v>114</v>
      </c>
      <c r="G24" s="8" t="n">
        <f aca="false">'Master of Price'!$G$22</f>
        <v>47500</v>
      </c>
      <c r="H24" s="8" t="n">
        <f aca="false">E24*G24</f>
        <v>240825</v>
      </c>
    </row>
    <row r="25" customFormat="false" ht="21.75" hidden="false" customHeight="true" outlineLevel="0" collapsed="false">
      <c r="A25" s="2"/>
      <c r="B25" s="9" t="s">
        <v>828</v>
      </c>
      <c r="C25" s="17" t="s">
        <v>118</v>
      </c>
      <c r="D25" s="36" t="n">
        <v>0.39</v>
      </c>
      <c r="E25" s="36" t="n">
        <v>0.39</v>
      </c>
      <c r="F25" s="18" t="s">
        <v>114</v>
      </c>
      <c r="G25" s="8" t="n">
        <f aca="false">'Master of Price'!$G$23</f>
        <v>90000</v>
      </c>
      <c r="H25" s="8" t="n">
        <f aca="false">E25*G25</f>
        <v>35100</v>
      </c>
    </row>
    <row r="26" customFormat="false" ht="21.75" hidden="false" customHeight="true" outlineLevel="0" collapsed="false">
      <c r="A26" s="2"/>
      <c r="B26" s="9" t="s">
        <v>829</v>
      </c>
      <c r="C26" s="17" t="s">
        <v>120</v>
      </c>
      <c r="D26" s="36" t="n">
        <v>0.08</v>
      </c>
      <c r="E26" s="36" t="n">
        <v>0.08</v>
      </c>
      <c r="F26" s="18" t="s">
        <v>114</v>
      </c>
      <c r="G26" s="8" t="n">
        <f aca="false">'Master of Price'!$G$24</f>
        <v>130000</v>
      </c>
      <c r="H26" s="8" t="n">
        <f aca="false">E26*G26</f>
        <v>10400</v>
      </c>
    </row>
    <row r="27" customFormat="false" ht="27.75" hidden="false" customHeight="true" outlineLevel="0" collapsed="false">
      <c r="A27" s="2"/>
      <c r="B27" s="9" t="s">
        <v>830</v>
      </c>
      <c r="C27" s="17" t="s">
        <v>122</v>
      </c>
      <c r="D27" s="36" t="n">
        <v>3.9</v>
      </c>
      <c r="E27" s="36" t="n">
        <v>3.9</v>
      </c>
      <c r="F27" s="18" t="s">
        <v>114</v>
      </c>
      <c r="G27" s="8" t="n">
        <f aca="false">'Master of Price'!$G$25</f>
        <v>700000</v>
      </c>
      <c r="H27" s="8" t="n">
        <f aca="false">E27*G27</f>
        <v>2730000</v>
      </c>
    </row>
    <row r="28" customFormat="false" ht="36" hidden="false" customHeight="true" outlineLevel="0" collapsed="false">
      <c r="A28" s="2"/>
      <c r="B28" s="9" t="s">
        <v>831</v>
      </c>
      <c r="C28" s="17" t="s">
        <v>124</v>
      </c>
      <c r="D28" s="36" t="n">
        <v>0.975</v>
      </c>
      <c r="E28" s="36" t="n">
        <v>0.975</v>
      </c>
      <c r="F28" s="18" t="s">
        <v>114</v>
      </c>
      <c r="G28" s="8" t="n">
        <f aca="false">'Master of Price'!$G$26</f>
        <v>1000000</v>
      </c>
      <c r="H28" s="8" t="n">
        <f aca="false">E28*G28</f>
        <v>975000</v>
      </c>
    </row>
    <row r="29" customFormat="false" ht="36" hidden="false" customHeight="true" outlineLevel="0" collapsed="false">
      <c r="A29" s="2"/>
      <c r="B29" s="9" t="s">
        <v>832</v>
      </c>
      <c r="C29" s="17" t="s">
        <v>113</v>
      </c>
      <c r="D29" s="36" t="n">
        <v>0.1</v>
      </c>
      <c r="E29" s="36" t="n">
        <v>0.1</v>
      </c>
      <c r="F29" s="18" t="s">
        <v>114</v>
      </c>
      <c r="G29" s="8" t="n">
        <f aca="false">'Master of Price'!$G$21</f>
        <v>1000000</v>
      </c>
      <c r="H29" s="8" t="n">
        <f aca="false">E29*G29</f>
        <v>100000</v>
      </c>
    </row>
    <row r="30" customFormat="false" ht="36" hidden="false" customHeight="true" outlineLevel="0" collapsed="false">
      <c r="A30" s="2"/>
      <c r="B30" s="9" t="s">
        <v>833</v>
      </c>
      <c r="C30" s="17" t="s">
        <v>128</v>
      </c>
      <c r="D30" s="36" t="n">
        <v>1</v>
      </c>
      <c r="E30" s="36" t="n">
        <v>1</v>
      </c>
      <c r="F30" s="18" t="s">
        <v>129</v>
      </c>
      <c r="G30" s="8" t="n">
        <f aca="false">'Master of Price'!$G$28</f>
        <v>4500000</v>
      </c>
      <c r="H30" s="8" t="n">
        <f aca="false">E30*G30</f>
        <v>4500000</v>
      </c>
    </row>
    <row r="31" customFormat="false" ht="25.5" hidden="false" customHeight="true" outlineLevel="0" collapsed="false">
      <c r="A31" s="2"/>
      <c r="B31" s="23" t="s">
        <v>811</v>
      </c>
      <c r="C31" s="23"/>
      <c r="D31" s="23"/>
      <c r="E31" s="23"/>
      <c r="F31" s="23"/>
      <c r="G31" s="23"/>
      <c r="H31" s="11" t="n">
        <f aca="false">SUM(H24:H30)</f>
        <v>8591325</v>
      </c>
    </row>
    <row r="32" customFormat="false" ht="21.75" hidden="false" customHeight="true" outlineLevel="0" collapsed="false">
      <c r="A32" s="2"/>
      <c r="B32" s="15" t="s">
        <v>834</v>
      </c>
      <c r="C32" s="15"/>
      <c r="D32" s="15"/>
      <c r="E32" s="15"/>
      <c r="F32" s="15"/>
      <c r="G32" s="15"/>
      <c r="H32" s="15"/>
    </row>
    <row r="33" customFormat="false" ht="27.75" hidden="false" customHeight="true" outlineLevel="0" collapsed="false">
      <c r="A33" s="2"/>
      <c r="B33" s="7" t="s">
        <v>16</v>
      </c>
      <c r="C33" s="7" t="s">
        <v>795</v>
      </c>
      <c r="D33" s="7" t="s">
        <v>796</v>
      </c>
      <c r="E33" s="7" t="s">
        <v>797</v>
      </c>
      <c r="F33" s="7" t="s">
        <v>89</v>
      </c>
      <c r="G33" s="7" t="s">
        <v>90</v>
      </c>
      <c r="H33" s="7" t="s">
        <v>798</v>
      </c>
    </row>
    <row r="34" customFormat="false" ht="21.75" hidden="false" customHeight="true" outlineLevel="0" collapsed="false">
      <c r="A34" s="2"/>
      <c r="B34" s="33" t="s">
        <v>813</v>
      </c>
      <c r="C34" s="34" t="s">
        <v>835</v>
      </c>
      <c r="D34" s="35"/>
      <c r="E34" s="35"/>
      <c r="F34" s="35"/>
      <c r="G34" s="35"/>
      <c r="H34" s="35"/>
    </row>
    <row r="35" customFormat="false" ht="36" hidden="false" customHeight="true" outlineLevel="0" collapsed="false">
      <c r="A35" s="2"/>
      <c r="B35" s="9" t="s">
        <v>815</v>
      </c>
      <c r="C35" s="17" t="s">
        <v>132</v>
      </c>
      <c r="D35" s="36" t="n">
        <v>1</v>
      </c>
      <c r="E35" s="36" t="n">
        <v>1</v>
      </c>
      <c r="F35" s="18" t="s">
        <v>133</v>
      </c>
      <c r="G35" s="8" t="n">
        <f aca="false">'Master of Price'!$G$29</f>
        <v>24000000</v>
      </c>
      <c r="H35" s="8" t="n">
        <f aca="false">E35*G35</f>
        <v>24000000</v>
      </c>
    </row>
    <row r="36" customFormat="false" ht="27.75" hidden="false" customHeight="true" outlineLevel="0" collapsed="false">
      <c r="A36" s="2"/>
      <c r="B36" s="9" t="s">
        <v>816</v>
      </c>
      <c r="C36" s="17" t="s">
        <v>135</v>
      </c>
      <c r="D36" s="36" t="n">
        <v>1</v>
      </c>
      <c r="E36" s="36" t="n">
        <v>1</v>
      </c>
      <c r="F36" s="18" t="s">
        <v>136</v>
      </c>
      <c r="G36" s="8" t="n">
        <f aca="false">'Master of Price'!$G$30</f>
        <v>1500000</v>
      </c>
      <c r="H36" s="8" t="n">
        <f aca="false">E36*G36</f>
        <v>1500000</v>
      </c>
    </row>
    <row r="37" customFormat="false" ht="36" hidden="false" customHeight="true" outlineLevel="0" collapsed="false">
      <c r="A37" s="2"/>
      <c r="B37" s="9" t="s">
        <v>836</v>
      </c>
      <c r="C37" s="17" t="s">
        <v>138</v>
      </c>
      <c r="D37" s="36" t="n">
        <v>5</v>
      </c>
      <c r="E37" s="36" t="n">
        <v>5</v>
      </c>
      <c r="F37" s="18" t="s">
        <v>133</v>
      </c>
      <c r="G37" s="8" t="n">
        <f aca="false">'Master of Price'!$G$31</f>
        <v>2100000</v>
      </c>
      <c r="H37" s="8" t="n">
        <f aca="false">E37*G37</f>
        <v>10500000</v>
      </c>
    </row>
    <row r="38" customFormat="false" ht="36" hidden="false" customHeight="true" outlineLevel="0" collapsed="false">
      <c r="A38" s="2"/>
      <c r="B38" s="9" t="s">
        <v>837</v>
      </c>
      <c r="C38" s="17" t="s">
        <v>140</v>
      </c>
      <c r="D38" s="36" t="n">
        <v>1</v>
      </c>
      <c r="E38" s="36" t="n">
        <v>1</v>
      </c>
      <c r="F38" s="18" t="s">
        <v>136</v>
      </c>
      <c r="G38" s="8" t="n">
        <f aca="false">'Master of Price'!$G$32</f>
        <v>2500000</v>
      </c>
      <c r="H38" s="8" t="n">
        <f aca="false">E38*G38</f>
        <v>2500000</v>
      </c>
    </row>
    <row r="39" customFormat="false" ht="25.5" hidden="false" customHeight="true" outlineLevel="0" collapsed="false">
      <c r="A39" s="2"/>
      <c r="B39" s="23" t="s">
        <v>838</v>
      </c>
      <c r="C39" s="23"/>
      <c r="D39" s="23"/>
      <c r="E39" s="23"/>
      <c r="F39" s="23"/>
      <c r="G39" s="23"/>
      <c r="H39" s="11" t="n">
        <f aca="false">SUM(H35:H38)</f>
        <v>38500000</v>
      </c>
    </row>
    <row r="40" customFormat="false" ht="21.75" hidden="false" customHeight="true" outlineLevel="0" collapsed="false">
      <c r="A40" s="2"/>
      <c r="B40" s="37" t="s">
        <v>818</v>
      </c>
      <c r="C40" s="37"/>
      <c r="D40" s="37"/>
      <c r="E40" s="37"/>
      <c r="F40" s="37"/>
      <c r="G40" s="37"/>
      <c r="H40" s="38" t="n">
        <f aca="false">H43-(H20+H31+H39)</f>
        <v>54109162</v>
      </c>
    </row>
    <row r="41" customFormat="false" ht="27.75" hidden="false" customHeight="true" outlineLevel="0" collapsed="false">
      <c r="A41" s="2"/>
      <c r="B41" s="10" t="s">
        <v>819</v>
      </c>
      <c r="C41" s="10"/>
      <c r="D41" s="10"/>
      <c r="E41" s="10"/>
      <c r="F41" s="10"/>
      <c r="G41" s="10"/>
      <c r="H41" s="39" t="n">
        <f aca="false">H20+H31+H39+H40</f>
        <v>116200487</v>
      </c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</row>
    <row r="43" customFormat="false" ht="21.75" hidden="false" customHeight="true" outlineLevel="0" collapsed="false">
      <c r="A43" s="2"/>
      <c r="B43" s="21" t="s">
        <v>820</v>
      </c>
      <c r="C43" s="21"/>
      <c r="D43" s="21"/>
      <c r="E43" s="21"/>
      <c r="F43" s="21"/>
      <c r="G43" s="21"/>
      <c r="H43" s="40" t="n">
        <f aca="false">RINGKASAN!$K$20</f>
        <v>116200487</v>
      </c>
    </row>
    <row r="44" customFormat="false" ht="21.75" hidden="false" customHeight="true" outlineLevel="0" collapsed="false">
      <c r="A44" s="2"/>
      <c r="B44" s="41" t="s">
        <v>821</v>
      </c>
      <c r="C44" s="41"/>
      <c r="D44" s="41"/>
      <c r="E44" s="41"/>
      <c r="F44" s="41"/>
      <c r="G44" s="41"/>
      <c r="H44" s="8" t="n">
        <f aca="false">H41-H43</f>
        <v>0</v>
      </c>
    </row>
    <row r="45" customFormat="false" ht="21.75" hidden="false" customHeight="true" outlineLevel="0" collapsed="false">
      <c r="A45" s="2"/>
      <c r="B45" s="42" t="s">
        <v>822</v>
      </c>
      <c r="C45" s="42"/>
      <c r="D45" s="42"/>
      <c r="E45" s="42"/>
      <c r="F45" s="42"/>
      <c r="G45" s="42"/>
      <c r="H45" s="37" t="str">
        <f aca="false">IF(H40&lt;0,"OVER BUDGET","OK")</f>
        <v>OK</v>
      </c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</row>
    <row r="61" customFormat="false" ht="15" hidden="false" customHeight="false" outlineLevel="0" collapsed="false">
      <c r="A61" s="2"/>
      <c r="B61" s="2"/>
      <c r="C61" s="2"/>
      <c r="D61" s="2"/>
      <c r="E61" s="2"/>
      <c r="F61" s="2"/>
      <c r="G61" s="2"/>
      <c r="H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  <c r="G62" s="2"/>
      <c r="H62" s="2"/>
    </row>
    <row r="63" customFormat="false" ht="15" hidden="false" customHeight="false" outlineLevel="0" collapsed="false">
      <c r="A63" s="2"/>
      <c r="B63" s="2"/>
      <c r="C63" s="2"/>
      <c r="D63" s="2"/>
      <c r="E63" s="2"/>
      <c r="F63" s="2"/>
      <c r="G63" s="2"/>
      <c r="H63" s="2"/>
    </row>
    <row r="64" customFormat="false" ht="15" hidden="false" customHeight="false" outlineLevel="0" collapsed="false">
      <c r="A64" s="2"/>
      <c r="B64" s="2"/>
      <c r="C64" s="2"/>
      <c r="D64" s="2"/>
      <c r="E64" s="2"/>
      <c r="F64" s="2"/>
      <c r="G64" s="2"/>
      <c r="H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</row>
    <row r="66" customFormat="false" ht="15" hidden="false" customHeight="false" outlineLevel="0" collapsed="false">
      <c r="A66" s="2"/>
      <c r="B66" s="2"/>
      <c r="C66" s="2"/>
      <c r="D66" s="2"/>
      <c r="E66" s="2"/>
      <c r="F66" s="2"/>
      <c r="G66" s="2"/>
      <c r="H66" s="2"/>
    </row>
    <row r="67" customFormat="false" ht="15" hidden="false" customHeight="false" outlineLevel="0" collapsed="false">
      <c r="A67" s="2"/>
      <c r="B67" s="2"/>
      <c r="C67" s="2"/>
      <c r="D67" s="2"/>
      <c r="E67" s="2"/>
      <c r="F67" s="2"/>
      <c r="G67" s="2"/>
      <c r="H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"/>
      <c r="H70" s="2"/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</row>
    <row r="250" customFormat="false" ht="15.7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</row>
    <row r="251" customFormat="false" ht="15.7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</row>
    <row r="252" customFormat="false" ht="15.7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</row>
    <row r="253" customFormat="false" ht="15.7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</row>
    <row r="254" customFormat="false" ht="15.7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</row>
    <row r="255" customFormat="false" ht="15.7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</row>
    <row r="256" customFormat="false" ht="15.7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</row>
    <row r="257" customFormat="false" ht="15.7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</row>
    <row r="258" customFormat="false" ht="15.7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</row>
    <row r="259" customFormat="false" ht="15.7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</row>
    <row r="260" customFormat="false" ht="15.7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</row>
    <row r="261" customFormat="false" ht="15.7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</row>
    <row r="262" customFormat="false" ht="15.7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</row>
    <row r="263" customFormat="false" ht="15.7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</row>
    <row r="264" customFormat="false" ht="15.7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</row>
    <row r="265" customFormat="false" ht="15.7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</row>
    <row r="266" customFormat="false" ht="15.7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</row>
    <row r="267" customFormat="false" ht="15.7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</row>
    <row r="268" customFormat="false" ht="15.7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</row>
    <row r="269" customFormat="false" ht="15.7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</row>
    <row r="270" customFormat="false" ht="15.7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</row>
    <row r="271" customFormat="false" ht="15.7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</row>
    <row r="272" customFormat="false" ht="15.7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</row>
    <row r="273" customFormat="false" ht="15.7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</row>
    <row r="274" customFormat="false" ht="15.7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</row>
    <row r="275" customFormat="false" ht="15.7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</row>
    <row r="276" customFormat="false" ht="15.7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</row>
    <row r="277" customFormat="false" ht="15.7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</row>
    <row r="278" customFormat="false" ht="15.7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</row>
    <row r="279" customFormat="false" ht="15.7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</row>
    <row r="280" customFormat="false" ht="15.7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</row>
    <row r="281" customFormat="false" ht="15.7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</row>
    <row r="282" customFormat="false" ht="15.7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</row>
    <row r="283" customFormat="false" ht="15.7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</row>
    <row r="284" customFormat="false" ht="15.7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</row>
    <row r="285" customFormat="false" ht="15.7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</row>
    <row r="286" customFormat="false" ht="15.7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</row>
    <row r="287" customFormat="false" ht="15.7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</row>
    <row r="288" customFormat="false" ht="15.7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</row>
    <row r="289" customFormat="false" ht="15.7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</row>
    <row r="290" customFormat="false" ht="15.7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</row>
    <row r="291" customFormat="false" ht="15.7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</row>
    <row r="292" customFormat="false" ht="15.7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</row>
    <row r="293" customFormat="false" ht="15.7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</row>
    <row r="294" customFormat="false" ht="15.7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</row>
    <row r="295" customFormat="false" ht="15.7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</row>
    <row r="296" customFormat="false" ht="15.7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</row>
    <row r="297" customFormat="false" ht="15.7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</row>
    <row r="298" customFormat="false" ht="15.7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</row>
    <row r="299" customFormat="false" ht="15.7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</row>
    <row r="300" customFormat="false" ht="15.7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</row>
    <row r="301" customFormat="false" ht="15.7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</row>
    <row r="302" customFormat="false" ht="15.7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</row>
    <row r="303" customFormat="false" ht="15.7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</row>
    <row r="304" customFormat="false" ht="15.7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</row>
    <row r="305" customFormat="false" ht="15.7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</row>
    <row r="306" customFormat="false" ht="15.7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</row>
    <row r="307" customFormat="false" ht="15.7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</row>
    <row r="308" customFormat="false" ht="15.7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</row>
    <row r="309" customFormat="false" ht="15.7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</row>
    <row r="310" customFormat="false" ht="15.7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</row>
    <row r="311" customFormat="false" ht="15.7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</row>
    <row r="312" customFormat="false" ht="15.7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</row>
    <row r="313" customFormat="false" ht="15.7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</row>
    <row r="314" customFormat="false" ht="15.7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</row>
    <row r="315" customFormat="false" ht="15.7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</row>
    <row r="316" customFormat="false" ht="15.7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</row>
    <row r="317" customFormat="false" ht="15.7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</row>
    <row r="318" customFormat="false" ht="15.7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</row>
    <row r="319" customFormat="false" ht="15.7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</row>
    <row r="320" customFormat="false" ht="15.7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</row>
    <row r="321" customFormat="false" ht="15.7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</row>
    <row r="322" customFormat="false" ht="15.7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</row>
    <row r="323" customFormat="false" ht="15.7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</row>
    <row r="324" customFormat="false" ht="15.7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</row>
    <row r="325" customFormat="false" ht="15.7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</row>
    <row r="326" customFormat="false" ht="15.7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</row>
    <row r="327" customFormat="false" ht="15.7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</row>
    <row r="328" customFormat="false" ht="15.7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</row>
    <row r="329" customFormat="false" ht="15.7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</row>
    <row r="330" customFormat="false" ht="15.7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</row>
    <row r="331" customFormat="false" ht="15.7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</row>
    <row r="332" customFormat="false" ht="15.7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</row>
    <row r="333" customFormat="false" ht="15.7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</row>
    <row r="334" customFormat="false" ht="15.7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</row>
    <row r="335" customFormat="false" ht="15.7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</row>
    <row r="336" customFormat="false" ht="15.7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</row>
    <row r="337" customFormat="false" ht="15.7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</row>
    <row r="338" customFormat="false" ht="15.7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</row>
    <row r="339" customFormat="false" ht="15.7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</row>
    <row r="340" customFormat="false" ht="15.7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</row>
    <row r="341" customFormat="false" ht="15.7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</row>
    <row r="342" customFormat="false" ht="15.7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</row>
    <row r="343" customFormat="false" ht="15.7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</row>
    <row r="344" customFormat="false" ht="15.7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</row>
    <row r="345" customFormat="false" ht="15.7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</row>
    <row r="346" customFormat="false" ht="15.7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</row>
    <row r="347" customFormat="false" ht="15.7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</row>
    <row r="348" customFormat="false" ht="15.7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</row>
    <row r="349" customFormat="false" ht="15.7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</row>
    <row r="350" customFormat="false" ht="15.7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</row>
    <row r="351" customFormat="false" ht="15.7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</row>
    <row r="352" customFormat="false" ht="15.7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</row>
    <row r="353" customFormat="false" ht="15.7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</row>
    <row r="354" customFormat="false" ht="15.7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</row>
    <row r="355" customFormat="false" ht="15.7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</row>
    <row r="356" customFormat="false" ht="15.7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</row>
    <row r="357" customFormat="false" ht="15.7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</row>
    <row r="358" customFormat="false" ht="15.7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</row>
    <row r="359" customFormat="false" ht="15.7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</row>
    <row r="360" customFormat="false" ht="15.7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</row>
    <row r="361" customFormat="false" ht="15.7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</row>
    <row r="362" customFormat="false" ht="15.7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</row>
    <row r="363" customFormat="false" ht="15.7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</row>
    <row r="364" customFormat="false" ht="15.7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</row>
    <row r="365" customFormat="false" ht="15.7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</row>
    <row r="366" customFormat="false" ht="15.7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</row>
    <row r="367" customFormat="false" ht="15.7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</row>
    <row r="368" customFormat="false" ht="15.7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</row>
    <row r="369" customFormat="false" ht="15.7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</row>
    <row r="370" customFormat="false" ht="15.7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</row>
    <row r="371" customFormat="false" ht="15.7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</row>
    <row r="372" customFormat="false" ht="15.7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</row>
    <row r="373" customFormat="false" ht="15.7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</row>
    <row r="374" customFormat="false" ht="15.7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</row>
    <row r="375" customFormat="false" ht="15.7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</row>
    <row r="376" customFormat="false" ht="15.7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</row>
    <row r="377" customFormat="false" ht="15.7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</row>
    <row r="378" customFormat="false" ht="15.7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</row>
    <row r="379" customFormat="false" ht="15.7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</row>
    <row r="380" customFormat="false" ht="15.7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</row>
    <row r="381" customFormat="false" ht="15.7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</row>
    <row r="382" customFormat="false" ht="15.7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</row>
    <row r="383" customFormat="false" ht="15.7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</row>
    <row r="384" customFormat="false" ht="15.7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</row>
    <row r="385" customFormat="false" ht="15.7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</row>
    <row r="386" customFormat="false" ht="15.7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</row>
    <row r="387" customFormat="false" ht="15.7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</row>
    <row r="388" customFormat="false" ht="15.7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</row>
    <row r="389" customFormat="false" ht="15.7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</row>
    <row r="390" customFormat="false" ht="15.7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</row>
    <row r="391" customFormat="false" ht="15.7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</row>
    <row r="392" customFormat="false" ht="15.7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</row>
    <row r="393" customFormat="false" ht="15.7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</row>
    <row r="394" customFormat="false" ht="15.7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</row>
    <row r="395" customFormat="false" ht="15.7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</row>
    <row r="396" customFormat="false" ht="15.7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</row>
    <row r="397" customFormat="false" ht="15.7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</row>
    <row r="398" customFormat="false" ht="15.7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</row>
    <row r="399" customFormat="false" ht="15.7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</row>
    <row r="400" customFormat="false" ht="15.7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</row>
    <row r="401" customFormat="false" ht="15.7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</row>
    <row r="402" customFormat="false" ht="15.7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</row>
    <row r="403" customFormat="false" ht="15.7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</row>
    <row r="404" customFormat="false" ht="15.7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</row>
    <row r="405" customFormat="false" ht="15.7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</row>
    <row r="406" customFormat="false" ht="15.7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</row>
    <row r="407" customFormat="false" ht="15.7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</row>
    <row r="408" customFormat="false" ht="15.7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</row>
    <row r="409" customFormat="false" ht="15.7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</row>
    <row r="410" customFormat="false" ht="15.7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</row>
    <row r="411" customFormat="false" ht="15.7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</row>
    <row r="412" customFormat="false" ht="15.7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</row>
    <row r="413" customFormat="false" ht="15.7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</row>
    <row r="414" customFormat="false" ht="15.7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</row>
    <row r="415" customFormat="false" ht="15.7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</row>
    <row r="416" customFormat="false" ht="15.7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</row>
    <row r="417" customFormat="false" ht="15.7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</row>
    <row r="418" customFormat="false" ht="15.7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</row>
    <row r="419" customFormat="false" ht="15.7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</row>
    <row r="420" customFormat="false" ht="15.7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</row>
    <row r="421" customFormat="false" ht="15.7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</row>
    <row r="422" customFormat="false" ht="15.7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</row>
    <row r="423" customFormat="false" ht="15.7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</row>
    <row r="424" customFormat="false" ht="15.7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</row>
    <row r="425" customFormat="false" ht="15.7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</row>
    <row r="426" customFormat="false" ht="15.7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</row>
    <row r="427" customFormat="false" ht="15.7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</row>
    <row r="428" customFormat="false" ht="15.7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</row>
    <row r="429" customFormat="false" ht="15.7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</row>
    <row r="430" customFormat="false" ht="15.7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</row>
    <row r="431" customFormat="false" ht="15.7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</row>
    <row r="432" customFormat="false" ht="15.7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</row>
    <row r="433" customFormat="false" ht="15.7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</row>
    <row r="434" customFormat="false" ht="15.7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</row>
    <row r="435" customFormat="false" ht="15.7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</row>
    <row r="436" customFormat="false" ht="15.7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</row>
    <row r="437" customFormat="false" ht="15.7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</row>
    <row r="438" customFormat="false" ht="15.7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</row>
    <row r="439" customFormat="false" ht="15.7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</row>
    <row r="440" customFormat="false" ht="15.7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</row>
    <row r="441" customFormat="false" ht="15.7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</row>
    <row r="442" customFormat="false" ht="15.7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</row>
    <row r="443" customFormat="false" ht="15.7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</row>
    <row r="444" customFormat="false" ht="15.7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</row>
    <row r="445" customFormat="false" ht="15.7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</row>
    <row r="446" customFormat="false" ht="15.7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</row>
    <row r="447" customFormat="false" ht="15.7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</row>
    <row r="448" customFormat="false" ht="15.7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</row>
    <row r="449" customFormat="false" ht="15.7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</row>
    <row r="450" customFormat="false" ht="15.7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</row>
    <row r="451" customFormat="false" ht="15.7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</row>
    <row r="452" customFormat="false" ht="15.7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</row>
    <row r="453" customFormat="false" ht="15.7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</row>
    <row r="454" customFormat="false" ht="15.7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</row>
    <row r="455" customFormat="false" ht="15.7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</row>
    <row r="456" customFormat="false" ht="15.7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</row>
    <row r="457" customFormat="false" ht="15.7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</row>
    <row r="458" customFormat="false" ht="15.7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</row>
    <row r="459" customFormat="false" ht="15.7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</row>
    <row r="460" customFormat="false" ht="15.7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</row>
    <row r="461" customFormat="false" ht="15.7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</row>
    <row r="462" customFormat="false" ht="15.7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</row>
    <row r="463" customFormat="false" ht="15.7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</row>
    <row r="464" customFormat="false" ht="15.7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</row>
    <row r="465" customFormat="false" ht="15.7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</row>
    <row r="466" customFormat="false" ht="15.7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</row>
    <row r="467" customFormat="false" ht="15.7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</row>
    <row r="468" customFormat="false" ht="15.7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</row>
    <row r="469" customFormat="false" ht="15.7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</row>
    <row r="470" customFormat="false" ht="15.7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</row>
    <row r="471" customFormat="false" ht="15.7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</row>
    <row r="472" customFormat="false" ht="15.7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</row>
    <row r="473" customFormat="false" ht="15.7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</row>
    <row r="474" customFormat="false" ht="15.7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</row>
    <row r="475" customFormat="false" ht="15.7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</row>
    <row r="476" customFormat="false" ht="15.7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</row>
    <row r="477" customFormat="false" ht="15.7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</row>
    <row r="478" customFormat="false" ht="15.7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</row>
    <row r="479" customFormat="false" ht="15.7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</row>
    <row r="480" customFormat="false" ht="15.7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</row>
    <row r="481" customFormat="false" ht="15.7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</row>
    <row r="482" customFormat="false" ht="15.7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</row>
    <row r="483" customFormat="false" ht="15.7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</row>
    <row r="484" customFormat="false" ht="15.7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</row>
    <row r="485" customFormat="false" ht="15.7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</row>
    <row r="486" customFormat="false" ht="15.7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</row>
    <row r="487" customFormat="false" ht="15.7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</row>
    <row r="488" customFormat="false" ht="15.7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</row>
    <row r="489" customFormat="false" ht="15.7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</row>
    <row r="490" customFormat="false" ht="15.7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</row>
    <row r="491" customFormat="false" ht="15.7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</row>
    <row r="492" customFormat="false" ht="15.7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</row>
    <row r="493" customFormat="false" ht="15.7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</row>
    <row r="494" customFormat="false" ht="15.7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</row>
    <row r="495" customFormat="false" ht="15.7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</row>
    <row r="496" customFormat="false" ht="15.7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</row>
    <row r="497" customFormat="false" ht="15.7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</row>
    <row r="498" customFormat="false" ht="15.7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</row>
    <row r="499" customFormat="false" ht="15.7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</row>
    <row r="500" customFormat="false" ht="15.7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</row>
    <row r="501" customFormat="false" ht="15.7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</row>
    <row r="502" customFormat="false" ht="15.7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</row>
    <row r="503" customFormat="false" ht="15.7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</row>
    <row r="504" customFormat="false" ht="15.7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</row>
    <row r="505" customFormat="false" ht="15.7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</row>
    <row r="506" customFormat="false" ht="15.7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</row>
    <row r="507" customFormat="false" ht="15.7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</row>
    <row r="508" customFormat="false" ht="15.7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</row>
    <row r="509" customFormat="false" ht="15.7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</row>
    <row r="510" customFormat="false" ht="15.7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</row>
    <row r="511" customFormat="false" ht="15.7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</row>
    <row r="512" customFormat="false" ht="15.7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</row>
    <row r="513" customFormat="false" ht="15.7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</row>
    <row r="514" customFormat="false" ht="15.7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</row>
    <row r="515" customFormat="false" ht="15.7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</row>
    <row r="516" customFormat="false" ht="15.7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</row>
    <row r="517" customFormat="false" ht="15.7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</row>
    <row r="518" customFormat="false" ht="15.7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</row>
    <row r="519" customFormat="false" ht="15.7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</row>
    <row r="520" customFormat="false" ht="15.7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</row>
    <row r="521" customFormat="false" ht="15.7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</row>
    <row r="522" customFormat="false" ht="15.7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</row>
    <row r="523" customFormat="false" ht="15.7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</row>
    <row r="524" customFormat="false" ht="15.7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</row>
    <row r="525" customFormat="false" ht="15.7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</row>
    <row r="526" customFormat="false" ht="15.7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</row>
    <row r="527" customFormat="false" ht="15.7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</row>
    <row r="528" customFormat="false" ht="15.7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</row>
    <row r="529" customFormat="false" ht="15.7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</row>
    <row r="530" customFormat="false" ht="15.7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</row>
    <row r="531" customFormat="false" ht="15.7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</row>
    <row r="532" customFormat="false" ht="15.7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</row>
    <row r="533" customFormat="false" ht="15.7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</row>
    <row r="534" customFormat="false" ht="15.7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</row>
    <row r="535" customFormat="false" ht="15.7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</row>
    <row r="536" customFormat="false" ht="15.7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</row>
    <row r="537" customFormat="false" ht="15.7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</row>
    <row r="538" customFormat="false" ht="15.7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</row>
    <row r="539" customFormat="false" ht="15.7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</row>
    <row r="540" customFormat="false" ht="15.7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</row>
    <row r="541" customFormat="false" ht="15.7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</row>
    <row r="542" customFormat="false" ht="15.7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</row>
    <row r="543" customFormat="false" ht="15.7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</row>
    <row r="544" customFormat="false" ht="15.7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</row>
    <row r="545" customFormat="false" ht="15.7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</row>
    <row r="546" customFormat="false" ht="15.7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</row>
    <row r="547" customFormat="false" ht="15.7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</row>
    <row r="548" customFormat="false" ht="15.7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</row>
    <row r="549" customFormat="false" ht="15.7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</row>
    <row r="550" customFormat="false" ht="15.7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</row>
    <row r="551" customFormat="false" ht="15.7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</row>
    <row r="552" customFormat="false" ht="15.7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</row>
    <row r="553" customFormat="false" ht="15.7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</row>
    <row r="554" customFormat="false" ht="15.7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</row>
    <row r="555" customFormat="false" ht="15.7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</row>
    <row r="556" customFormat="false" ht="15.7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</row>
    <row r="557" customFormat="false" ht="15.7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</row>
    <row r="558" customFormat="false" ht="15.7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</row>
    <row r="559" customFormat="false" ht="15.7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</row>
    <row r="560" customFormat="false" ht="15.7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</row>
    <row r="561" customFormat="false" ht="15.7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</row>
    <row r="562" customFormat="false" ht="15.7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</row>
    <row r="563" customFormat="false" ht="15.7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</row>
    <row r="564" customFormat="false" ht="15.7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</row>
    <row r="565" customFormat="false" ht="15.7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</row>
    <row r="566" customFormat="false" ht="15.7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</row>
    <row r="567" customFormat="false" ht="15.7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</row>
    <row r="568" customFormat="false" ht="15.7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</row>
    <row r="569" customFormat="false" ht="15.7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</row>
    <row r="570" customFormat="false" ht="15.7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</row>
    <row r="571" customFormat="false" ht="15.7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</row>
    <row r="572" customFormat="false" ht="15.7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</row>
    <row r="573" customFormat="false" ht="15.7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</row>
    <row r="574" customFormat="false" ht="15.7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</row>
    <row r="575" customFormat="false" ht="15.7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</row>
    <row r="576" customFormat="false" ht="15.7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</row>
    <row r="577" customFormat="false" ht="15.7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</row>
    <row r="578" customFormat="false" ht="15.7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</row>
    <row r="579" customFormat="false" ht="15.7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</row>
    <row r="580" customFormat="false" ht="15.7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</row>
    <row r="581" customFormat="false" ht="15.7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</row>
    <row r="582" customFormat="false" ht="15.7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</row>
    <row r="583" customFormat="false" ht="15.7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</row>
    <row r="584" customFormat="false" ht="15.7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</row>
    <row r="585" customFormat="false" ht="15.7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</row>
    <row r="586" customFormat="false" ht="15.7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</row>
    <row r="587" customFormat="false" ht="15.7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</row>
    <row r="588" customFormat="false" ht="15.7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</row>
    <row r="589" customFormat="false" ht="15.7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</row>
    <row r="590" customFormat="false" ht="15.7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</row>
    <row r="591" customFormat="false" ht="15.7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</row>
    <row r="592" customFormat="false" ht="15.7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</row>
    <row r="593" customFormat="false" ht="15.7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</row>
    <row r="594" customFormat="false" ht="15.7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</row>
    <row r="595" customFormat="false" ht="15.7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</row>
    <row r="596" customFormat="false" ht="15.7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</row>
    <row r="597" customFormat="false" ht="15.7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</row>
    <row r="598" customFormat="false" ht="15.7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</row>
    <row r="599" customFormat="false" ht="15.7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</row>
    <row r="600" customFormat="false" ht="15.7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</row>
    <row r="601" customFormat="false" ht="15.7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</row>
    <row r="602" customFormat="false" ht="15.7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</row>
    <row r="603" customFormat="false" ht="15.7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</row>
    <row r="604" customFormat="false" ht="15.7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</row>
    <row r="605" customFormat="false" ht="15.7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</row>
    <row r="606" customFormat="false" ht="15.7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</row>
    <row r="607" customFormat="false" ht="15.7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</row>
    <row r="608" customFormat="false" ht="15.7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</row>
    <row r="609" customFormat="false" ht="15.7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</row>
    <row r="610" customFormat="false" ht="15.7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</row>
    <row r="611" customFormat="false" ht="15.7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</row>
    <row r="612" customFormat="false" ht="15.7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</row>
    <row r="613" customFormat="false" ht="15.7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</row>
    <row r="614" customFormat="false" ht="15.7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</row>
    <row r="615" customFormat="false" ht="15.7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</row>
    <row r="616" customFormat="false" ht="15.7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</row>
    <row r="617" customFormat="false" ht="15.7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</row>
    <row r="618" customFormat="false" ht="15.7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</row>
    <row r="619" customFormat="false" ht="15.7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</row>
    <row r="620" customFormat="false" ht="15.7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</row>
    <row r="621" customFormat="false" ht="15.7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</row>
    <row r="622" customFormat="false" ht="15.7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</row>
    <row r="623" customFormat="false" ht="15.7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</row>
    <row r="624" customFormat="false" ht="15.7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</row>
    <row r="625" customFormat="false" ht="15.7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</row>
    <row r="626" customFormat="false" ht="15.7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</row>
    <row r="627" customFormat="false" ht="15.7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</row>
    <row r="628" customFormat="false" ht="15.7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</row>
    <row r="629" customFormat="false" ht="15.7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</row>
    <row r="630" customFormat="false" ht="15.7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</row>
    <row r="631" customFormat="false" ht="15.7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</row>
    <row r="632" customFormat="false" ht="15.7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</row>
    <row r="633" customFormat="false" ht="15.7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</row>
    <row r="634" customFormat="false" ht="15.7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</row>
    <row r="635" customFormat="false" ht="15.7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</row>
    <row r="636" customFormat="false" ht="15.7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</row>
    <row r="637" customFormat="false" ht="15.7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</row>
    <row r="638" customFormat="false" ht="15.7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</row>
    <row r="639" customFormat="false" ht="15.7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</row>
    <row r="640" customFormat="false" ht="15.7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</row>
    <row r="641" customFormat="false" ht="15.7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</row>
    <row r="642" customFormat="false" ht="15.7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</row>
    <row r="643" customFormat="false" ht="15.7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</row>
    <row r="644" customFormat="false" ht="15.7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</row>
    <row r="645" customFormat="false" ht="15.7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</row>
    <row r="646" customFormat="false" ht="15.7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</row>
    <row r="647" customFormat="false" ht="15.7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</row>
    <row r="648" customFormat="false" ht="15.7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</row>
    <row r="649" customFormat="false" ht="15.7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</row>
    <row r="650" customFormat="false" ht="15.7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</row>
    <row r="651" customFormat="false" ht="15.7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</row>
    <row r="652" customFormat="false" ht="15.7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</row>
    <row r="653" customFormat="false" ht="15.7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</row>
    <row r="654" customFormat="false" ht="15.7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</row>
    <row r="655" customFormat="false" ht="15.7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</row>
    <row r="656" customFormat="false" ht="15.7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</row>
    <row r="657" customFormat="false" ht="15.7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</row>
    <row r="658" customFormat="false" ht="15.7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</row>
    <row r="659" customFormat="false" ht="15.7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</row>
    <row r="660" customFormat="false" ht="15.7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</row>
    <row r="661" customFormat="false" ht="15.7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</row>
    <row r="662" customFormat="false" ht="15.7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</row>
    <row r="663" customFormat="false" ht="15.7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</row>
    <row r="664" customFormat="false" ht="15.7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</row>
    <row r="665" customFormat="false" ht="15.7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</row>
    <row r="666" customFormat="false" ht="15.7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</row>
    <row r="667" customFormat="false" ht="15.7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</row>
    <row r="668" customFormat="false" ht="15.7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</row>
    <row r="669" customFormat="false" ht="15.7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</row>
    <row r="670" customFormat="false" ht="15.7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</row>
    <row r="671" customFormat="false" ht="15.7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</row>
    <row r="672" customFormat="false" ht="15.7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</row>
    <row r="673" customFormat="false" ht="15.7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</row>
    <row r="674" customFormat="false" ht="15.7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</row>
    <row r="675" customFormat="false" ht="15.7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</row>
    <row r="676" customFormat="false" ht="15.7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</row>
    <row r="677" customFormat="false" ht="15.7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</row>
    <row r="678" customFormat="false" ht="15.7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</row>
    <row r="679" customFormat="false" ht="15.7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</row>
    <row r="680" customFormat="false" ht="15.7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</row>
    <row r="681" customFormat="false" ht="15.7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</row>
    <row r="682" customFormat="false" ht="15.7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</row>
    <row r="683" customFormat="false" ht="15.7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</row>
    <row r="684" customFormat="false" ht="15.7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</row>
    <row r="685" customFormat="false" ht="15.7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</row>
    <row r="686" customFormat="false" ht="15.7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</row>
    <row r="687" customFormat="false" ht="15.7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</row>
    <row r="688" customFormat="false" ht="15.7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</row>
    <row r="689" customFormat="false" ht="15.7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</row>
    <row r="690" customFormat="false" ht="15.7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</row>
    <row r="691" customFormat="false" ht="15.7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</row>
    <row r="692" customFormat="false" ht="15.7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</row>
    <row r="693" customFormat="false" ht="15.7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</row>
    <row r="694" customFormat="false" ht="15.7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</row>
    <row r="695" customFormat="false" ht="15.7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</row>
    <row r="696" customFormat="false" ht="15.7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</row>
    <row r="697" customFormat="false" ht="15.7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</row>
    <row r="698" customFormat="false" ht="15.7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</row>
    <row r="699" customFormat="false" ht="15.7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</row>
    <row r="700" customFormat="false" ht="15.7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</row>
    <row r="701" customFormat="false" ht="15.7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</row>
    <row r="702" customFormat="false" ht="15.7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</row>
    <row r="703" customFormat="false" ht="15.7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</row>
    <row r="704" customFormat="false" ht="15.7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</row>
    <row r="705" customFormat="false" ht="15.7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</row>
    <row r="706" customFormat="false" ht="15.7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</row>
    <row r="707" customFormat="false" ht="15.7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</row>
    <row r="708" customFormat="false" ht="15.7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</row>
    <row r="709" customFormat="false" ht="15.7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</row>
    <row r="710" customFormat="false" ht="15.7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</row>
    <row r="711" customFormat="false" ht="15.7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</row>
    <row r="712" customFormat="false" ht="15.7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</row>
    <row r="713" customFormat="false" ht="15.7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</row>
    <row r="714" customFormat="false" ht="15.7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</row>
    <row r="715" customFormat="false" ht="15.7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</row>
    <row r="716" customFormat="false" ht="15.7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</row>
    <row r="717" customFormat="false" ht="15.7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</row>
    <row r="718" customFormat="false" ht="15.7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</row>
    <row r="719" customFormat="false" ht="15.7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</row>
    <row r="720" customFormat="false" ht="15.7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</row>
    <row r="721" customFormat="false" ht="15.7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</row>
    <row r="722" customFormat="false" ht="15.7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</row>
    <row r="723" customFormat="false" ht="15.7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</row>
    <row r="724" customFormat="false" ht="15.7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</row>
    <row r="725" customFormat="false" ht="15.7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</row>
    <row r="726" customFormat="false" ht="15.7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</row>
    <row r="727" customFormat="false" ht="15.7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</row>
    <row r="728" customFormat="false" ht="15.7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</row>
    <row r="729" customFormat="false" ht="15.7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</row>
    <row r="730" customFormat="false" ht="15.7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</row>
    <row r="731" customFormat="false" ht="15.7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</row>
    <row r="732" customFormat="false" ht="15.7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</row>
    <row r="733" customFormat="false" ht="15.7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</row>
    <row r="734" customFormat="false" ht="15.7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</row>
    <row r="735" customFormat="false" ht="15.7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</row>
    <row r="736" customFormat="false" ht="15.7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</row>
    <row r="737" customFormat="false" ht="15.7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</row>
    <row r="738" customFormat="false" ht="15.7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</row>
    <row r="739" customFormat="false" ht="15.7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</row>
    <row r="740" customFormat="false" ht="15.7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</row>
    <row r="741" customFormat="false" ht="15.7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</row>
    <row r="742" customFormat="false" ht="15.7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</row>
    <row r="743" customFormat="false" ht="15.7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</row>
    <row r="744" customFormat="false" ht="15.7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</row>
    <row r="745" customFormat="false" ht="15.7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</row>
    <row r="746" customFormat="false" ht="15.7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</row>
    <row r="747" customFormat="false" ht="15.7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</row>
    <row r="748" customFormat="false" ht="15.7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</row>
    <row r="749" customFormat="false" ht="15.7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</row>
    <row r="750" customFormat="false" ht="15.7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</row>
    <row r="751" customFormat="false" ht="15.7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</row>
    <row r="752" customFormat="false" ht="15.7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</row>
    <row r="753" customFormat="false" ht="15.7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</row>
    <row r="754" customFormat="false" ht="15.7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</row>
    <row r="755" customFormat="false" ht="15.7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</row>
    <row r="756" customFormat="false" ht="15.7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</row>
    <row r="757" customFormat="false" ht="15.7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</row>
    <row r="758" customFormat="false" ht="15.7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</row>
    <row r="759" customFormat="false" ht="15.7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</row>
    <row r="760" customFormat="false" ht="15.7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</row>
    <row r="761" customFormat="false" ht="15.7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</row>
    <row r="762" customFormat="false" ht="15.7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</row>
    <row r="763" customFormat="false" ht="15.7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</row>
    <row r="764" customFormat="false" ht="15.7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</row>
    <row r="765" customFormat="false" ht="15.7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</row>
    <row r="766" customFormat="false" ht="15.7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</row>
    <row r="767" customFormat="false" ht="15.7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</row>
    <row r="768" customFormat="false" ht="15.7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</row>
    <row r="769" customFormat="false" ht="15.7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</row>
    <row r="770" customFormat="false" ht="15.7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</row>
    <row r="771" customFormat="false" ht="15.7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</row>
    <row r="772" customFormat="false" ht="15.7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</row>
    <row r="773" customFormat="false" ht="15.7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</row>
    <row r="774" customFormat="false" ht="15.7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</row>
    <row r="775" customFormat="false" ht="15.7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</row>
    <row r="776" customFormat="false" ht="15.7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</row>
    <row r="777" customFormat="false" ht="15.7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</row>
    <row r="778" customFormat="false" ht="15.7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</row>
    <row r="779" customFormat="false" ht="15.7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</row>
    <row r="780" customFormat="false" ht="15.7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</row>
    <row r="781" customFormat="false" ht="15.7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</row>
    <row r="782" customFormat="false" ht="15.7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</row>
    <row r="783" customFormat="false" ht="15.7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</row>
    <row r="784" customFormat="false" ht="15.7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</row>
    <row r="785" customFormat="false" ht="15.7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</row>
    <row r="786" customFormat="false" ht="15.7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</row>
    <row r="787" customFormat="false" ht="15.7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</row>
    <row r="788" customFormat="false" ht="15.7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</row>
    <row r="789" customFormat="false" ht="15.7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</row>
    <row r="790" customFormat="false" ht="15.7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</row>
    <row r="791" customFormat="false" ht="15.7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</row>
    <row r="792" customFormat="false" ht="15.7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</row>
    <row r="793" customFormat="false" ht="15.7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</row>
    <row r="794" customFormat="false" ht="15.7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</row>
    <row r="795" customFormat="false" ht="15.7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</row>
    <row r="796" customFormat="false" ht="15.7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</row>
    <row r="797" customFormat="false" ht="15.7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</row>
    <row r="798" customFormat="false" ht="15.7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</row>
    <row r="799" customFormat="false" ht="15.7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</row>
    <row r="800" customFormat="false" ht="15.7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</row>
    <row r="801" customFormat="false" ht="15.7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</row>
    <row r="802" customFormat="false" ht="15.7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</row>
    <row r="803" customFormat="false" ht="15.7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</row>
    <row r="804" customFormat="false" ht="15.7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</row>
    <row r="805" customFormat="false" ht="15.7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</row>
    <row r="806" customFormat="false" ht="15.7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</row>
    <row r="807" customFormat="false" ht="15.7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</row>
    <row r="808" customFormat="false" ht="15.7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</row>
    <row r="809" customFormat="false" ht="15.7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</row>
    <row r="810" customFormat="false" ht="15.7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</row>
    <row r="811" customFormat="false" ht="15.7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</row>
    <row r="812" customFormat="false" ht="15.7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</row>
    <row r="813" customFormat="false" ht="15.7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</row>
    <row r="814" customFormat="false" ht="15.7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</row>
    <row r="815" customFormat="false" ht="15.7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</row>
    <row r="816" customFormat="false" ht="15.7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</row>
    <row r="817" customFormat="false" ht="15.7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</row>
    <row r="818" customFormat="false" ht="15.7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</row>
    <row r="819" customFormat="false" ht="15.7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</row>
    <row r="820" customFormat="false" ht="15.7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</row>
    <row r="821" customFormat="false" ht="15.7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</row>
    <row r="822" customFormat="false" ht="15.7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</row>
    <row r="823" customFormat="false" ht="15.7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</row>
    <row r="824" customFormat="false" ht="15.7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</row>
    <row r="825" customFormat="false" ht="15.7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</row>
    <row r="826" customFormat="false" ht="15.7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</row>
    <row r="827" customFormat="false" ht="15.7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</row>
    <row r="828" customFormat="false" ht="15.7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</row>
    <row r="829" customFormat="false" ht="15.7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</row>
    <row r="830" customFormat="false" ht="15.7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</row>
    <row r="831" customFormat="false" ht="15.7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</row>
    <row r="832" customFormat="false" ht="15.7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</row>
    <row r="833" customFormat="false" ht="15.7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</row>
    <row r="834" customFormat="false" ht="15.7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</row>
    <row r="835" customFormat="false" ht="15.7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</row>
    <row r="836" customFormat="false" ht="15.7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</row>
    <row r="837" customFormat="false" ht="15.7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</row>
    <row r="838" customFormat="false" ht="15.7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</row>
    <row r="839" customFormat="false" ht="15.7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</row>
    <row r="840" customFormat="false" ht="15.7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</row>
    <row r="841" customFormat="false" ht="15.7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</row>
    <row r="842" customFormat="false" ht="15.7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</row>
    <row r="843" customFormat="false" ht="15.7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</row>
    <row r="844" customFormat="false" ht="15.7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</row>
    <row r="845" customFormat="false" ht="15.7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</row>
    <row r="846" customFormat="false" ht="15.7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</row>
    <row r="847" customFormat="false" ht="15.7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</row>
    <row r="848" customFormat="false" ht="15.7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</row>
    <row r="849" customFormat="false" ht="15.7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</row>
    <row r="850" customFormat="false" ht="15.7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</row>
    <row r="851" customFormat="false" ht="15.7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</row>
    <row r="852" customFormat="false" ht="15.7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</row>
    <row r="853" customFormat="false" ht="15.7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</row>
    <row r="854" customFormat="false" ht="15.7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</row>
    <row r="855" customFormat="false" ht="15.7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</row>
    <row r="856" customFormat="false" ht="15.7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</row>
    <row r="857" customFormat="false" ht="15.7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</row>
    <row r="858" customFormat="false" ht="15.7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</row>
    <row r="859" customFormat="false" ht="15.7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</row>
    <row r="860" customFormat="false" ht="15.7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</row>
    <row r="861" customFormat="false" ht="15.7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</row>
    <row r="862" customFormat="false" ht="15.7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</row>
    <row r="863" customFormat="false" ht="15.7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</row>
    <row r="864" customFormat="false" ht="15.7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</row>
    <row r="865" customFormat="false" ht="15.7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</row>
    <row r="866" customFormat="false" ht="15.7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</row>
    <row r="867" customFormat="false" ht="15.7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</row>
    <row r="868" customFormat="false" ht="15.7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</row>
    <row r="869" customFormat="false" ht="15.7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</row>
    <row r="870" customFormat="false" ht="15.7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</row>
    <row r="871" customFormat="false" ht="15.7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</row>
    <row r="872" customFormat="false" ht="15.7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</row>
    <row r="873" customFormat="false" ht="15.7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</row>
    <row r="874" customFormat="false" ht="15.7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</row>
    <row r="875" customFormat="false" ht="15.7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</row>
    <row r="876" customFormat="false" ht="15.7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</row>
    <row r="877" customFormat="false" ht="15.7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</row>
    <row r="878" customFormat="false" ht="15.7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</row>
    <row r="879" customFormat="false" ht="15.7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</row>
    <row r="880" customFormat="false" ht="15.7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</row>
    <row r="881" customFormat="false" ht="15.7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</row>
    <row r="882" customFormat="false" ht="15.7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</row>
    <row r="883" customFormat="false" ht="15.7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</row>
    <row r="884" customFormat="false" ht="15.7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</row>
    <row r="885" customFormat="false" ht="15.7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</row>
    <row r="886" customFormat="false" ht="15.7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</row>
    <row r="887" customFormat="false" ht="15.7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</row>
    <row r="888" customFormat="false" ht="15.7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</row>
    <row r="889" customFormat="false" ht="15.7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</row>
    <row r="890" customFormat="false" ht="15.7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</row>
    <row r="891" customFormat="false" ht="15.7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</row>
    <row r="892" customFormat="false" ht="15.7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</row>
    <row r="893" customFormat="false" ht="15.7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</row>
    <row r="894" customFormat="false" ht="15.7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</row>
    <row r="895" customFormat="false" ht="15.7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</row>
    <row r="896" customFormat="false" ht="15.7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</row>
    <row r="897" customFormat="false" ht="15.7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</row>
    <row r="898" customFormat="false" ht="15.7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</row>
    <row r="899" customFormat="false" ht="15.7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</row>
    <row r="900" customFormat="false" ht="15.7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</row>
    <row r="901" customFormat="false" ht="15.7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</row>
    <row r="902" customFormat="false" ht="15.7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</row>
    <row r="903" customFormat="false" ht="15.7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</row>
    <row r="904" customFormat="false" ht="15.7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</row>
    <row r="905" customFormat="false" ht="15.7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</row>
    <row r="906" customFormat="false" ht="15.7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</row>
    <row r="907" customFormat="false" ht="15.7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</row>
    <row r="908" customFormat="false" ht="15.7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</row>
    <row r="909" customFormat="false" ht="15.7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</row>
    <row r="910" customFormat="false" ht="15.7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</row>
    <row r="911" customFormat="false" ht="15.7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</row>
    <row r="912" customFormat="false" ht="15.7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</row>
    <row r="913" customFormat="false" ht="15.7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</row>
    <row r="914" customFormat="false" ht="15.7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</row>
    <row r="915" customFormat="false" ht="15.7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</row>
    <row r="916" customFormat="false" ht="15.7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</row>
    <row r="917" customFormat="false" ht="15.7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</row>
    <row r="918" customFormat="false" ht="15.7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</row>
    <row r="919" customFormat="false" ht="15.7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</row>
    <row r="920" customFormat="false" ht="15.7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</row>
    <row r="921" customFormat="false" ht="15.7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</row>
    <row r="922" customFormat="false" ht="15.7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</row>
    <row r="923" customFormat="false" ht="15.7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</row>
    <row r="924" customFormat="false" ht="15.7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</row>
    <row r="925" customFormat="false" ht="15.7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</row>
    <row r="926" customFormat="false" ht="15.7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</row>
    <row r="927" customFormat="false" ht="15.7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</row>
    <row r="928" customFormat="false" ht="15.7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</row>
    <row r="929" customFormat="false" ht="15.7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</row>
    <row r="930" customFormat="false" ht="15.7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</row>
    <row r="931" customFormat="false" ht="15.7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</row>
    <row r="932" customFormat="false" ht="15.7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</row>
    <row r="933" customFormat="false" ht="15.7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</row>
    <row r="934" customFormat="false" ht="15.7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</row>
    <row r="935" customFormat="false" ht="15.7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</row>
    <row r="936" customFormat="false" ht="15.7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</row>
    <row r="937" customFormat="false" ht="15.7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</row>
    <row r="938" customFormat="false" ht="15.7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</row>
    <row r="939" customFormat="false" ht="15.7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</row>
    <row r="940" customFormat="false" ht="15.7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</row>
    <row r="941" customFormat="false" ht="15.7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</row>
    <row r="942" customFormat="false" ht="15.7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</row>
    <row r="943" customFormat="false" ht="15.7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</row>
    <row r="944" customFormat="false" ht="15.7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</row>
    <row r="945" customFormat="false" ht="15.7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</row>
    <row r="946" customFormat="false" ht="15.7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</row>
    <row r="947" customFormat="false" ht="15.7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</row>
    <row r="948" customFormat="false" ht="15.7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</row>
    <row r="949" customFormat="false" ht="15.7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</row>
    <row r="950" customFormat="false" ht="15.7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</row>
    <row r="951" customFormat="false" ht="15.7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</row>
    <row r="952" customFormat="false" ht="15.7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</row>
    <row r="953" customFormat="false" ht="15.7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</row>
    <row r="954" customFormat="false" ht="15.7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</row>
    <row r="955" customFormat="false" ht="15.7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</row>
    <row r="956" customFormat="false" ht="15.7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</row>
    <row r="957" customFormat="false" ht="15.7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</row>
    <row r="958" customFormat="false" ht="15.7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</row>
    <row r="959" customFormat="false" ht="15.7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</row>
    <row r="960" customFormat="false" ht="15.7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</row>
    <row r="961" customFormat="false" ht="15.7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</row>
    <row r="962" customFormat="false" ht="15.7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</row>
    <row r="963" customFormat="false" ht="15.7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</row>
    <row r="964" customFormat="false" ht="15.7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</row>
    <row r="965" customFormat="false" ht="15.7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</row>
    <row r="966" customFormat="false" ht="15.7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</row>
    <row r="967" customFormat="false" ht="15.7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</row>
    <row r="968" customFormat="false" ht="15.7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</row>
    <row r="969" customFormat="false" ht="15.7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</row>
    <row r="970" customFormat="false" ht="15.7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</row>
    <row r="971" customFormat="false" ht="15.7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</row>
    <row r="972" customFormat="false" ht="15.7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</row>
    <row r="973" customFormat="false" ht="15.7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</row>
    <row r="974" customFormat="false" ht="15.7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</row>
    <row r="975" customFormat="false" ht="15.7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</row>
    <row r="976" customFormat="false" ht="15.7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</row>
    <row r="977" customFormat="false" ht="15.7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</row>
    <row r="978" customFormat="false" ht="15.7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</row>
    <row r="979" customFormat="false" ht="15.7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</row>
    <row r="980" customFormat="false" ht="15.7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</row>
    <row r="981" customFormat="false" ht="15.7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</row>
    <row r="982" customFormat="false" ht="15.7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</row>
    <row r="983" customFormat="false" ht="15.7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</row>
    <row r="984" customFormat="false" ht="15.7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</row>
    <row r="985" customFormat="false" ht="15.7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</row>
    <row r="986" customFormat="false" ht="15.7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</row>
    <row r="987" customFormat="false" ht="15.7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</row>
    <row r="988" customFormat="false" ht="15.7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</row>
    <row r="989" customFormat="false" ht="15.7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</row>
    <row r="990" customFormat="false" ht="15.7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</row>
    <row r="991" customFormat="false" ht="15.7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</row>
    <row r="992" customFormat="false" ht="15.7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</row>
    <row r="993" customFormat="false" ht="15.7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</row>
    <row r="994" customFormat="false" ht="15.7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</row>
    <row r="995" customFormat="false" ht="15.7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</row>
    <row r="996" customFormat="false" ht="15.7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</row>
    <row r="997" customFormat="false" ht="15.75" hidden="false" customHeight="true" outlineLevel="0" collapsed="false">
      <c r="A997" s="2"/>
      <c r="B997" s="2"/>
      <c r="C997" s="2"/>
      <c r="D997" s="2"/>
      <c r="E997" s="2"/>
      <c r="F997" s="2"/>
      <c r="G997" s="2"/>
      <c r="H997" s="2"/>
    </row>
    <row r="998" customFormat="false" ht="15.75" hidden="false" customHeight="true" outlineLevel="0" collapsed="false">
      <c r="A998" s="2"/>
      <c r="B998" s="2"/>
      <c r="C998" s="2"/>
      <c r="D998" s="2"/>
      <c r="E998" s="2"/>
      <c r="F998" s="2"/>
      <c r="G998" s="2"/>
      <c r="H998" s="2"/>
    </row>
    <row r="999" customFormat="false" ht="15.75" hidden="false" customHeight="true" outlineLevel="0" collapsed="false">
      <c r="A999" s="2"/>
      <c r="B999" s="2"/>
      <c r="C999" s="2"/>
      <c r="D999" s="2"/>
      <c r="E999" s="2"/>
      <c r="F999" s="2"/>
      <c r="G999" s="2"/>
      <c r="H999" s="2"/>
    </row>
    <row r="1000" customFormat="false" ht="15.75" hidden="false" customHeight="true" outlineLevel="0" collapsed="false">
      <c r="A1000" s="2"/>
      <c r="B1000" s="2"/>
      <c r="C1000" s="2"/>
      <c r="D1000" s="2"/>
      <c r="E1000" s="2"/>
      <c r="F1000" s="2"/>
      <c r="G1000" s="2"/>
      <c r="H1000" s="2"/>
    </row>
  </sheetData>
  <mergeCells count="22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1:G31"/>
    <mergeCell ref="B32:H32"/>
    <mergeCell ref="D34:H34"/>
    <mergeCell ref="B39:G39"/>
    <mergeCell ref="B40:G40"/>
    <mergeCell ref="B41:G41"/>
    <mergeCell ref="B43:G43"/>
    <mergeCell ref="B44:G44"/>
    <mergeCell ref="B45:G45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9.7" hidden="false" customHeight="false" outlineLevel="0" collapsed="false">
      <c r="A2" s="2"/>
      <c r="B2" s="3" t="s">
        <v>851</v>
      </c>
      <c r="C2" s="3"/>
      <c r="D2" s="3"/>
      <c r="E2" s="3"/>
      <c r="F2" s="3"/>
      <c r="G2" s="3"/>
      <c r="H2" s="3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2"/>
      <c r="B4" s="4" t="s">
        <v>785</v>
      </c>
      <c r="C4" s="14" t="s">
        <v>852</v>
      </c>
      <c r="D4" s="14"/>
      <c r="E4" s="14"/>
      <c r="F4" s="14"/>
      <c r="G4" s="14"/>
      <c r="H4" s="14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15" hidden="false" customHeight="false" outlineLevel="0" collapsed="false">
      <c r="A5" s="2"/>
      <c r="B5" s="4" t="s">
        <v>787</v>
      </c>
      <c r="C5" s="14" t="s">
        <v>853</v>
      </c>
      <c r="D5" s="14"/>
      <c r="E5" s="14"/>
      <c r="F5" s="14"/>
      <c r="G5" s="14"/>
      <c r="H5" s="14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15" hidden="false" customHeight="false" outlineLevel="0" collapsed="false">
      <c r="A6" s="2"/>
      <c r="B6" s="4" t="s">
        <v>18</v>
      </c>
      <c r="C6" s="14" t="s">
        <v>789</v>
      </c>
      <c r="D6" s="14"/>
      <c r="E6" s="14"/>
      <c r="F6" s="14"/>
      <c r="G6" s="14"/>
      <c r="H6" s="14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15" hidden="false" customHeight="false" outlineLevel="0" collapsed="false">
      <c r="A7" s="2"/>
      <c r="B7" s="4" t="s">
        <v>790</v>
      </c>
      <c r="C7" s="14" t="s">
        <v>791</v>
      </c>
      <c r="D7" s="14"/>
      <c r="E7" s="14"/>
      <c r="F7" s="14"/>
      <c r="G7" s="14"/>
      <c r="H7" s="14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15" hidden="false" customHeight="false" outlineLevel="0" collapsed="false">
      <c r="A8" s="2"/>
      <c r="B8" s="4" t="s">
        <v>792</v>
      </c>
      <c r="C8" s="32" t="n">
        <f aca="false">RINGKASAN!$K$21</f>
        <v>41250000</v>
      </c>
      <c r="D8" s="32"/>
      <c r="E8" s="32"/>
      <c r="F8" s="32"/>
      <c r="G8" s="32"/>
      <c r="H8" s="3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15" hidden="false" customHeight="false" outlineLevel="0" collapsed="false">
      <c r="A9" s="2"/>
      <c r="B9" s="4" t="s">
        <v>81</v>
      </c>
      <c r="C9" s="14" t="s">
        <v>793</v>
      </c>
      <c r="D9" s="14"/>
      <c r="E9" s="14"/>
      <c r="F9" s="14"/>
      <c r="G9" s="14"/>
      <c r="H9" s="14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15" hidden="false" customHeight="false" outlineLevel="0" collapsed="false">
      <c r="A10" s="2"/>
      <c r="B10" s="4" t="s">
        <v>9</v>
      </c>
      <c r="C10" s="14" t="s">
        <v>10</v>
      </c>
      <c r="D10" s="14"/>
      <c r="E10" s="14"/>
      <c r="F10" s="14"/>
      <c r="G10" s="14"/>
      <c r="H10" s="14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21.75" hidden="false" customHeight="true" outlineLevel="0" collapsed="false">
      <c r="A12" s="2"/>
      <c r="B12" s="15" t="s">
        <v>794</v>
      </c>
      <c r="C12" s="15"/>
      <c r="D12" s="15"/>
      <c r="E12" s="15"/>
      <c r="F12" s="15"/>
      <c r="G12" s="15"/>
      <c r="H12" s="15"/>
    </row>
    <row r="13" customFormat="false" ht="27.75" hidden="false" customHeight="true" outlineLevel="0" collapsed="false">
      <c r="A13" s="2"/>
      <c r="B13" s="7" t="s">
        <v>16</v>
      </c>
      <c r="C13" s="7" t="s">
        <v>795</v>
      </c>
      <c r="D13" s="7" t="s">
        <v>796</v>
      </c>
      <c r="E13" s="7" t="s">
        <v>797</v>
      </c>
      <c r="F13" s="7" t="s">
        <v>89</v>
      </c>
      <c r="G13" s="7" t="s">
        <v>90</v>
      </c>
      <c r="H13" s="7" t="s">
        <v>798</v>
      </c>
    </row>
    <row r="14" customFormat="false" ht="21.75" hidden="false" customHeight="true" outlineLevel="0" collapsed="false">
      <c r="A14" s="2"/>
      <c r="B14" s="33" t="s">
        <v>799</v>
      </c>
      <c r="C14" s="34" t="s">
        <v>800</v>
      </c>
      <c r="D14" s="35"/>
      <c r="E14" s="35"/>
      <c r="F14" s="35"/>
      <c r="G14" s="35"/>
      <c r="H14" s="35"/>
    </row>
    <row r="15" customFormat="false" ht="36" hidden="false" customHeight="true" outlineLevel="0" collapsed="false">
      <c r="A15" s="2"/>
      <c r="B15" s="9" t="s">
        <v>801</v>
      </c>
      <c r="C15" s="17" t="s">
        <v>93</v>
      </c>
      <c r="D15" s="36" t="n">
        <v>40</v>
      </c>
      <c r="E15" s="36" t="n">
        <v>40</v>
      </c>
      <c r="F15" s="18" t="s">
        <v>94</v>
      </c>
      <c r="G15" s="8" t="n">
        <f aca="false">'Master of Price'!$G$12</f>
        <v>352000</v>
      </c>
      <c r="H15" s="8" t="n">
        <f aca="false">E15*G15</f>
        <v>14080000</v>
      </c>
    </row>
    <row r="16" customFormat="false" ht="27.75" hidden="false" customHeight="true" outlineLevel="0" collapsed="false">
      <c r="A16" s="2"/>
      <c r="B16" s="9" t="s">
        <v>802</v>
      </c>
      <c r="C16" s="17" t="s">
        <v>96</v>
      </c>
      <c r="D16" s="36" t="n">
        <v>40</v>
      </c>
      <c r="E16" s="36" t="n">
        <v>40</v>
      </c>
      <c r="F16" s="18" t="s">
        <v>94</v>
      </c>
      <c r="G16" s="8" t="n">
        <f aca="false">'Master of Price'!$G$13</f>
        <v>100000</v>
      </c>
      <c r="H16" s="8" t="n">
        <f aca="false">E16*G16</f>
        <v>4000000</v>
      </c>
    </row>
    <row r="17" customFormat="false" ht="27.75" hidden="false" customHeight="true" outlineLevel="0" collapsed="false">
      <c r="A17" s="2"/>
      <c r="B17" s="9" t="s">
        <v>803</v>
      </c>
      <c r="C17" s="17" t="s">
        <v>98</v>
      </c>
      <c r="D17" s="36" t="n">
        <v>40</v>
      </c>
      <c r="E17" s="36" t="n">
        <v>40</v>
      </c>
      <c r="F17" s="18" t="s">
        <v>94</v>
      </c>
      <c r="G17" s="8" t="n">
        <f aca="false">'Master of Price'!$G$14</f>
        <v>28000</v>
      </c>
      <c r="H17" s="8" t="n">
        <f aca="false">E17*G17</f>
        <v>1120000</v>
      </c>
    </row>
    <row r="18" customFormat="false" ht="27.75" hidden="false" customHeight="true" outlineLevel="0" collapsed="false">
      <c r="A18" s="2"/>
      <c r="B18" s="9" t="s">
        <v>804</v>
      </c>
      <c r="C18" s="17" t="s">
        <v>100</v>
      </c>
      <c r="D18" s="36" t="n">
        <v>40</v>
      </c>
      <c r="E18" s="36" t="n">
        <v>40</v>
      </c>
      <c r="F18" s="18" t="s">
        <v>94</v>
      </c>
      <c r="G18" s="8" t="n">
        <f aca="false">'Master of Price'!$G$15</f>
        <v>45000</v>
      </c>
      <c r="H18" s="8" t="n">
        <f aca="false">E18*G18</f>
        <v>1800000</v>
      </c>
    </row>
    <row r="19" customFormat="false" ht="27.75" hidden="false" customHeight="true" outlineLevel="0" collapsed="false">
      <c r="A19" s="2"/>
      <c r="B19" s="9" t="s">
        <v>805</v>
      </c>
      <c r="C19" s="17" t="s">
        <v>102</v>
      </c>
      <c r="D19" s="36" t="n">
        <v>40</v>
      </c>
      <c r="E19" s="36" t="n">
        <v>40</v>
      </c>
      <c r="F19" s="18" t="s">
        <v>94</v>
      </c>
      <c r="G19" s="8" t="n">
        <f aca="false">'Master of Price'!$G$16</f>
        <v>75000</v>
      </c>
      <c r="H19" s="8" t="n">
        <f aca="false">E19*G19</f>
        <v>3000000</v>
      </c>
    </row>
    <row r="20" customFormat="false" ht="25.5" hidden="false" customHeight="true" outlineLevel="0" collapsed="false">
      <c r="A20" s="2"/>
      <c r="B20" s="23" t="s">
        <v>806</v>
      </c>
      <c r="C20" s="23"/>
      <c r="D20" s="23"/>
      <c r="E20" s="23"/>
      <c r="F20" s="23"/>
      <c r="G20" s="23"/>
      <c r="H20" s="11" t="n">
        <f aca="false">SUM(H15:H19)</f>
        <v>24000000</v>
      </c>
    </row>
    <row r="21" customFormat="false" ht="21.75" hidden="false" customHeight="true" outlineLevel="0" collapsed="false">
      <c r="A21" s="2"/>
      <c r="B21" s="15" t="s">
        <v>807</v>
      </c>
      <c r="C21" s="15"/>
      <c r="D21" s="15"/>
      <c r="E21" s="15"/>
      <c r="F21" s="15"/>
      <c r="G21" s="15"/>
      <c r="H21" s="15"/>
    </row>
    <row r="22" customFormat="false" ht="27.75" hidden="false" customHeight="true" outlineLevel="0" collapsed="false">
      <c r="A22" s="2"/>
      <c r="B22" s="7" t="s">
        <v>16</v>
      </c>
      <c r="C22" s="7" t="s">
        <v>795</v>
      </c>
      <c r="D22" s="7" t="s">
        <v>796</v>
      </c>
      <c r="E22" s="7" t="s">
        <v>797</v>
      </c>
      <c r="F22" s="7" t="s">
        <v>89</v>
      </c>
      <c r="G22" s="7" t="s">
        <v>90</v>
      </c>
      <c r="H22" s="7" t="s">
        <v>798</v>
      </c>
    </row>
    <row r="23" customFormat="false" ht="21.75" hidden="false" customHeight="true" outlineLevel="0" collapsed="false">
      <c r="A23" s="2"/>
      <c r="B23" s="33" t="s">
        <v>808</v>
      </c>
      <c r="C23" s="34" t="s">
        <v>809</v>
      </c>
      <c r="D23" s="35"/>
      <c r="E23" s="35"/>
      <c r="F23" s="35"/>
      <c r="G23" s="35"/>
      <c r="H23" s="35"/>
    </row>
    <row r="24" customFormat="false" ht="36" hidden="false" customHeight="true" outlineLevel="0" collapsed="false">
      <c r="A24" s="2"/>
      <c r="B24" s="9" t="s">
        <v>810</v>
      </c>
      <c r="C24" s="17" t="s">
        <v>113</v>
      </c>
      <c r="D24" s="36" t="n">
        <v>0.1</v>
      </c>
      <c r="E24" s="36" t="n">
        <v>0.1</v>
      </c>
      <c r="F24" s="18" t="s">
        <v>114</v>
      </c>
      <c r="G24" s="8" t="n">
        <f aca="false">'Master of Price'!$G$21</f>
        <v>1000000</v>
      </c>
      <c r="H24" s="8" t="n">
        <f aca="false">E24*G24</f>
        <v>100000</v>
      </c>
    </row>
    <row r="25" customFormat="false" ht="36" hidden="false" customHeight="true" outlineLevel="0" collapsed="false">
      <c r="A25" s="2"/>
      <c r="B25" s="9" t="s">
        <v>828</v>
      </c>
      <c r="C25" s="17" t="s">
        <v>126</v>
      </c>
      <c r="D25" s="36" t="n">
        <v>2</v>
      </c>
      <c r="E25" s="36" t="n">
        <v>2</v>
      </c>
      <c r="F25" s="18" t="s">
        <v>114</v>
      </c>
      <c r="G25" s="8" t="n">
        <f aca="false">'Master of Price'!$G$27</f>
        <v>1200000</v>
      </c>
      <c r="H25" s="8" t="n">
        <f aca="false">E25*G25</f>
        <v>2400000</v>
      </c>
    </row>
    <row r="26" customFormat="false" ht="25.5" hidden="false" customHeight="true" outlineLevel="0" collapsed="false">
      <c r="A26" s="2"/>
      <c r="B26" s="23" t="s">
        <v>811</v>
      </c>
      <c r="C26" s="23"/>
      <c r="D26" s="23"/>
      <c r="E26" s="23"/>
      <c r="F26" s="23"/>
      <c r="G26" s="23"/>
      <c r="H26" s="11" t="n">
        <f aca="false">SUM(H24:H25)</f>
        <v>2500000</v>
      </c>
    </row>
    <row r="27" customFormat="false" ht="21.75" hidden="false" customHeight="true" outlineLevel="0" collapsed="false">
      <c r="A27" s="2"/>
      <c r="B27" s="15" t="s">
        <v>812</v>
      </c>
      <c r="C27" s="15"/>
      <c r="D27" s="15"/>
      <c r="E27" s="15"/>
      <c r="F27" s="15"/>
      <c r="G27" s="15"/>
      <c r="H27" s="15"/>
    </row>
    <row r="28" customFormat="false" ht="27.75" hidden="false" customHeight="true" outlineLevel="0" collapsed="false">
      <c r="A28" s="2"/>
      <c r="B28" s="7" t="s">
        <v>16</v>
      </c>
      <c r="C28" s="7" t="s">
        <v>795</v>
      </c>
      <c r="D28" s="7" t="s">
        <v>796</v>
      </c>
      <c r="E28" s="7" t="s">
        <v>797</v>
      </c>
      <c r="F28" s="7" t="s">
        <v>89</v>
      </c>
      <c r="G28" s="7" t="s">
        <v>90</v>
      </c>
      <c r="H28" s="7" t="s">
        <v>798</v>
      </c>
    </row>
    <row r="29" customFormat="false" ht="21.75" hidden="false" customHeight="true" outlineLevel="0" collapsed="false">
      <c r="A29" s="2"/>
      <c r="B29" s="33" t="s">
        <v>813</v>
      </c>
      <c r="C29" s="34" t="s">
        <v>814</v>
      </c>
      <c r="D29" s="35"/>
      <c r="E29" s="35"/>
      <c r="F29" s="35"/>
      <c r="G29" s="35"/>
      <c r="H29" s="35"/>
    </row>
    <row r="30" customFormat="false" ht="36" hidden="false" customHeight="true" outlineLevel="0" collapsed="false">
      <c r="A30" s="2"/>
      <c r="B30" s="9" t="s">
        <v>815</v>
      </c>
      <c r="C30" s="17" t="s">
        <v>143</v>
      </c>
      <c r="D30" s="36" t="n">
        <v>1</v>
      </c>
      <c r="E30" s="36" t="n">
        <v>1</v>
      </c>
      <c r="F30" s="18" t="s">
        <v>133</v>
      </c>
      <c r="G30" s="8" t="n">
        <f aca="false">'Master of Price'!$G$33</f>
        <v>12500000</v>
      </c>
      <c r="H30" s="8" t="n">
        <f aca="false">E30*G30</f>
        <v>12500000</v>
      </c>
    </row>
    <row r="31" customFormat="false" ht="36" hidden="false" customHeight="true" outlineLevel="0" collapsed="false">
      <c r="A31" s="2"/>
      <c r="B31" s="9" t="s">
        <v>816</v>
      </c>
      <c r="C31" s="17" t="s">
        <v>145</v>
      </c>
      <c r="D31" s="36" t="n">
        <v>1</v>
      </c>
      <c r="E31" s="36" t="n">
        <v>1</v>
      </c>
      <c r="F31" s="18" t="s">
        <v>136</v>
      </c>
      <c r="G31" s="8" t="n">
        <f aca="false">'Master of Price'!$G$34</f>
        <v>1500000</v>
      </c>
      <c r="H31" s="8" t="n">
        <f aca="false">E31*G31</f>
        <v>1500000</v>
      </c>
    </row>
    <row r="32" customFormat="false" ht="25.5" hidden="false" customHeight="true" outlineLevel="0" collapsed="false">
      <c r="A32" s="2"/>
      <c r="B32" s="23" t="s">
        <v>817</v>
      </c>
      <c r="C32" s="23"/>
      <c r="D32" s="23"/>
      <c r="E32" s="23"/>
      <c r="F32" s="23"/>
      <c r="G32" s="23"/>
      <c r="H32" s="11" t="n">
        <f aca="false">SUM(H30:H31)</f>
        <v>14000000</v>
      </c>
    </row>
    <row r="33" customFormat="false" ht="21.75" hidden="false" customHeight="true" outlineLevel="0" collapsed="false">
      <c r="A33" s="2"/>
      <c r="B33" s="37" t="s">
        <v>818</v>
      </c>
      <c r="C33" s="37"/>
      <c r="D33" s="37"/>
      <c r="E33" s="37"/>
      <c r="F33" s="37"/>
      <c r="G33" s="37"/>
      <c r="H33" s="38" t="n">
        <f aca="false">H36-(H20+H26+H32)</f>
        <v>750000</v>
      </c>
    </row>
    <row r="34" customFormat="false" ht="27.75" hidden="false" customHeight="true" outlineLevel="0" collapsed="false">
      <c r="A34" s="2"/>
      <c r="B34" s="10" t="s">
        <v>819</v>
      </c>
      <c r="C34" s="10"/>
      <c r="D34" s="10"/>
      <c r="E34" s="10"/>
      <c r="F34" s="10"/>
      <c r="G34" s="10"/>
      <c r="H34" s="39" t="n">
        <f aca="false">H20+H26+H32+H33</f>
        <v>41250000</v>
      </c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</row>
    <row r="36" customFormat="false" ht="21.75" hidden="false" customHeight="true" outlineLevel="0" collapsed="false">
      <c r="A36" s="2"/>
      <c r="B36" s="21" t="s">
        <v>820</v>
      </c>
      <c r="C36" s="21"/>
      <c r="D36" s="21"/>
      <c r="E36" s="21"/>
      <c r="F36" s="21"/>
      <c r="G36" s="21"/>
      <c r="H36" s="40" t="n">
        <f aca="false">RINGKASAN!$K$21</f>
        <v>41250000</v>
      </c>
    </row>
    <row r="37" customFormat="false" ht="21.75" hidden="false" customHeight="true" outlineLevel="0" collapsed="false">
      <c r="A37" s="2"/>
      <c r="B37" s="41" t="s">
        <v>821</v>
      </c>
      <c r="C37" s="41"/>
      <c r="D37" s="41"/>
      <c r="E37" s="41"/>
      <c r="F37" s="41"/>
      <c r="G37" s="41"/>
      <c r="H37" s="8" t="n">
        <f aca="false">H34-H36</f>
        <v>0</v>
      </c>
    </row>
    <row r="38" customFormat="false" ht="21.75" hidden="false" customHeight="true" outlineLevel="0" collapsed="false">
      <c r="A38" s="2"/>
      <c r="B38" s="42" t="s">
        <v>822</v>
      </c>
      <c r="C38" s="42"/>
      <c r="D38" s="42"/>
      <c r="E38" s="42"/>
      <c r="F38" s="42"/>
      <c r="G38" s="42"/>
      <c r="H38" s="37" t="str">
        <f aca="false">IF(H33&lt;0,"OVER BUDGET","OK")</f>
        <v>OK</v>
      </c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</row>
    <row r="61" customFormat="false" ht="15" hidden="false" customHeight="false" outlineLevel="0" collapsed="false">
      <c r="A61" s="2"/>
      <c r="B61" s="2"/>
      <c r="C61" s="2"/>
      <c r="D61" s="2"/>
      <c r="E61" s="2"/>
      <c r="F61" s="2"/>
      <c r="G61" s="2"/>
      <c r="H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  <c r="G62" s="2"/>
      <c r="H62" s="2"/>
    </row>
    <row r="63" customFormat="false" ht="15" hidden="false" customHeight="false" outlineLevel="0" collapsed="false">
      <c r="A63" s="2"/>
      <c r="B63" s="2"/>
      <c r="C63" s="2"/>
      <c r="D63" s="2"/>
      <c r="E63" s="2"/>
      <c r="F63" s="2"/>
      <c r="G63" s="2"/>
      <c r="H63" s="2"/>
    </row>
    <row r="64" customFormat="false" ht="15" hidden="false" customHeight="false" outlineLevel="0" collapsed="false">
      <c r="A64" s="2"/>
      <c r="B64" s="2"/>
      <c r="C64" s="2"/>
      <c r="D64" s="2"/>
      <c r="E64" s="2"/>
      <c r="F64" s="2"/>
      <c r="G64" s="2"/>
      <c r="H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</row>
    <row r="66" customFormat="false" ht="15" hidden="false" customHeight="false" outlineLevel="0" collapsed="false">
      <c r="A66" s="2"/>
      <c r="B66" s="2"/>
      <c r="C66" s="2"/>
      <c r="D66" s="2"/>
      <c r="E66" s="2"/>
      <c r="F66" s="2"/>
      <c r="G66" s="2"/>
      <c r="H66" s="2"/>
    </row>
    <row r="67" customFormat="false" ht="15" hidden="false" customHeight="false" outlineLevel="0" collapsed="false">
      <c r="A67" s="2"/>
      <c r="B67" s="2"/>
      <c r="C67" s="2"/>
      <c r="D67" s="2"/>
      <c r="E67" s="2"/>
      <c r="F67" s="2"/>
      <c r="G67" s="2"/>
      <c r="H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"/>
      <c r="H70" s="2"/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</row>
    <row r="250" customFormat="false" ht="15.7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</row>
    <row r="251" customFormat="false" ht="15.7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</row>
    <row r="252" customFormat="false" ht="15.7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</row>
    <row r="253" customFormat="false" ht="15.7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</row>
    <row r="254" customFormat="false" ht="15.7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</row>
    <row r="255" customFormat="false" ht="15.7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</row>
    <row r="256" customFormat="false" ht="15.7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</row>
    <row r="257" customFormat="false" ht="15.7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</row>
    <row r="258" customFormat="false" ht="15.7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</row>
    <row r="259" customFormat="false" ht="15.7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</row>
    <row r="260" customFormat="false" ht="15.7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</row>
    <row r="261" customFormat="false" ht="15.7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</row>
    <row r="262" customFormat="false" ht="15.7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</row>
    <row r="263" customFormat="false" ht="15.7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</row>
    <row r="264" customFormat="false" ht="15.7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</row>
    <row r="265" customFormat="false" ht="15.7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</row>
    <row r="266" customFormat="false" ht="15.7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</row>
    <row r="267" customFormat="false" ht="15.7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</row>
    <row r="268" customFormat="false" ht="15.7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</row>
    <row r="269" customFormat="false" ht="15.7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</row>
    <row r="270" customFormat="false" ht="15.7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</row>
    <row r="271" customFormat="false" ht="15.7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</row>
    <row r="272" customFormat="false" ht="15.7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</row>
    <row r="273" customFormat="false" ht="15.7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</row>
    <row r="274" customFormat="false" ht="15.7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</row>
    <row r="275" customFormat="false" ht="15.7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</row>
    <row r="276" customFormat="false" ht="15.7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</row>
    <row r="277" customFormat="false" ht="15.7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</row>
    <row r="278" customFormat="false" ht="15.7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</row>
    <row r="279" customFormat="false" ht="15.7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</row>
    <row r="280" customFormat="false" ht="15.7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</row>
    <row r="281" customFormat="false" ht="15.7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</row>
    <row r="282" customFormat="false" ht="15.7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</row>
    <row r="283" customFormat="false" ht="15.7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</row>
    <row r="284" customFormat="false" ht="15.7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</row>
    <row r="285" customFormat="false" ht="15.7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</row>
    <row r="286" customFormat="false" ht="15.7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</row>
    <row r="287" customFormat="false" ht="15.7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</row>
    <row r="288" customFormat="false" ht="15.7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</row>
    <row r="289" customFormat="false" ht="15.7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</row>
    <row r="290" customFormat="false" ht="15.7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</row>
    <row r="291" customFormat="false" ht="15.7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</row>
    <row r="292" customFormat="false" ht="15.7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</row>
    <row r="293" customFormat="false" ht="15.7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</row>
    <row r="294" customFormat="false" ht="15.7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</row>
    <row r="295" customFormat="false" ht="15.7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</row>
    <row r="296" customFormat="false" ht="15.7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</row>
    <row r="297" customFormat="false" ht="15.7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</row>
    <row r="298" customFormat="false" ht="15.7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</row>
    <row r="299" customFormat="false" ht="15.7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</row>
    <row r="300" customFormat="false" ht="15.7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</row>
    <row r="301" customFormat="false" ht="15.7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</row>
    <row r="302" customFormat="false" ht="15.7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</row>
    <row r="303" customFormat="false" ht="15.7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</row>
    <row r="304" customFormat="false" ht="15.7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</row>
    <row r="305" customFormat="false" ht="15.7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</row>
    <row r="306" customFormat="false" ht="15.7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</row>
    <row r="307" customFormat="false" ht="15.7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</row>
    <row r="308" customFormat="false" ht="15.7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</row>
    <row r="309" customFormat="false" ht="15.7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</row>
    <row r="310" customFormat="false" ht="15.7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</row>
    <row r="311" customFormat="false" ht="15.7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</row>
    <row r="312" customFormat="false" ht="15.7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</row>
    <row r="313" customFormat="false" ht="15.7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</row>
    <row r="314" customFormat="false" ht="15.7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</row>
    <row r="315" customFormat="false" ht="15.7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</row>
    <row r="316" customFormat="false" ht="15.7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</row>
    <row r="317" customFormat="false" ht="15.7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</row>
    <row r="318" customFormat="false" ht="15.7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</row>
    <row r="319" customFormat="false" ht="15.7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</row>
    <row r="320" customFormat="false" ht="15.7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</row>
    <row r="321" customFormat="false" ht="15.7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</row>
    <row r="322" customFormat="false" ht="15.7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</row>
    <row r="323" customFormat="false" ht="15.7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</row>
    <row r="324" customFormat="false" ht="15.7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</row>
    <row r="325" customFormat="false" ht="15.7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</row>
    <row r="326" customFormat="false" ht="15.7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</row>
    <row r="327" customFormat="false" ht="15.7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</row>
    <row r="328" customFormat="false" ht="15.7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</row>
    <row r="329" customFormat="false" ht="15.7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</row>
    <row r="330" customFormat="false" ht="15.7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</row>
    <row r="331" customFormat="false" ht="15.7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</row>
    <row r="332" customFormat="false" ht="15.7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</row>
    <row r="333" customFormat="false" ht="15.7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</row>
    <row r="334" customFormat="false" ht="15.7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</row>
    <row r="335" customFormat="false" ht="15.7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</row>
    <row r="336" customFormat="false" ht="15.7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</row>
    <row r="337" customFormat="false" ht="15.7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</row>
    <row r="338" customFormat="false" ht="15.7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</row>
    <row r="339" customFormat="false" ht="15.7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</row>
    <row r="340" customFormat="false" ht="15.7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</row>
    <row r="341" customFormat="false" ht="15.7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</row>
    <row r="342" customFormat="false" ht="15.7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</row>
    <row r="343" customFormat="false" ht="15.7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</row>
    <row r="344" customFormat="false" ht="15.7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</row>
    <row r="345" customFormat="false" ht="15.7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</row>
    <row r="346" customFormat="false" ht="15.7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</row>
    <row r="347" customFormat="false" ht="15.7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</row>
    <row r="348" customFormat="false" ht="15.7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</row>
    <row r="349" customFormat="false" ht="15.7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</row>
    <row r="350" customFormat="false" ht="15.7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</row>
    <row r="351" customFormat="false" ht="15.7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</row>
    <row r="352" customFormat="false" ht="15.7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</row>
    <row r="353" customFormat="false" ht="15.7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</row>
    <row r="354" customFormat="false" ht="15.7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</row>
    <row r="355" customFormat="false" ht="15.7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</row>
    <row r="356" customFormat="false" ht="15.7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</row>
    <row r="357" customFormat="false" ht="15.7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</row>
    <row r="358" customFormat="false" ht="15.7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</row>
    <row r="359" customFormat="false" ht="15.7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</row>
    <row r="360" customFormat="false" ht="15.7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</row>
    <row r="361" customFormat="false" ht="15.7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</row>
    <row r="362" customFormat="false" ht="15.7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</row>
    <row r="363" customFormat="false" ht="15.7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</row>
    <row r="364" customFormat="false" ht="15.7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</row>
    <row r="365" customFormat="false" ht="15.7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</row>
    <row r="366" customFormat="false" ht="15.7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</row>
    <row r="367" customFormat="false" ht="15.7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</row>
    <row r="368" customFormat="false" ht="15.7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</row>
    <row r="369" customFormat="false" ht="15.7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</row>
    <row r="370" customFormat="false" ht="15.7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</row>
    <row r="371" customFormat="false" ht="15.7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</row>
    <row r="372" customFormat="false" ht="15.7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</row>
    <row r="373" customFormat="false" ht="15.7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</row>
    <row r="374" customFormat="false" ht="15.7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</row>
    <row r="375" customFormat="false" ht="15.7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</row>
    <row r="376" customFormat="false" ht="15.7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</row>
    <row r="377" customFormat="false" ht="15.7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</row>
    <row r="378" customFormat="false" ht="15.7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</row>
    <row r="379" customFormat="false" ht="15.7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</row>
    <row r="380" customFormat="false" ht="15.7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</row>
    <row r="381" customFormat="false" ht="15.7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</row>
    <row r="382" customFormat="false" ht="15.7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</row>
    <row r="383" customFormat="false" ht="15.7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</row>
    <row r="384" customFormat="false" ht="15.7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</row>
    <row r="385" customFormat="false" ht="15.7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</row>
    <row r="386" customFormat="false" ht="15.7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</row>
    <row r="387" customFormat="false" ht="15.7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</row>
    <row r="388" customFormat="false" ht="15.7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</row>
    <row r="389" customFormat="false" ht="15.7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</row>
    <row r="390" customFormat="false" ht="15.7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</row>
    <row r="391" customFormat="false" ht="15.7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</row>
    <row r="392" customFormat="false" ht="15.7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</row>
    <row r="393" customFormat="false" ht="15.7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</row>
    <row r="394" customFormat="false" ht="15.7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</row>
    <row r="395" customFormat="false" ht="15.7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</row>
    <row r="396" customFormat="false" ht="15.7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</row>
    <row r="397" customFormat="false" ht="15.7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</row>
    <row r="398" customFormat="false" ht="15.7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</row>
    <row r="399" customFormat="false" ht="15.7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</row>
    <row r="400" customFormat="false" ht="15.7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</row>
    <row r="401" customFormat="false" ht="15.7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</row>
    <row r="402" customFormat="false" ht="15.7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</row>
    <row r="403" customFormat="false" ht="15.7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</row>
    <row r="404" customFormat="false" ht="15.7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</row>
    <row r="405" customFormat="false" ht="15.7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</row>
    <row r="406" customFormat="false" ht="15.7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</row>
    <row r="407" customFormat="false" ht="15.7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</row>
    <row r="408" customFormat="false" ht="15.7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</row>
    <row r="409" customFormat="false" ht="15.7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</row>
    <row r="410" customFormat="false" ht="15.7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</row>
    <row r="411" customFormat="false" ht="15.7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</row>
    <row r="412" customFormat="false" ht="15.7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</row>
    <row r="413" customFormat="false" ht="15.7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</row>
    <row r="414" customFormat="false" ht="15.7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</row>
    <row r="415" customFormat="false" ht="15.7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</row>
    <row r="416" customFormat="false" ht="15.7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</row>
    <row r="417" customFormat="false" ht="15.7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</row>
    <row r="418" customFormat="false" ht="15.7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</row>
    <row r="419" customFormat="false" ht="15.7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</row>
    <row r="420" customFormat="false" ht="15.7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</row>
    <row r="421" customFormat="false" ht="15.7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</row>
    <row r="422" customFormat="false" ht="15.7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</row>
    <row r="423" customFormat="false" ht="15.7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</row>
    <row r="424" customFormat="false" ht="15.7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</row>
    <row r="425" customFormat="false" ht="15.7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</row>
    <row r="426" customFormat="false" ht="15.7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</row>
    <row r="427" customFormat="false" ht="15.7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</row>
    <row r="428" customFormat="false" ht="15.7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</row>
    <row r="429" customFormat="false" ht="15.7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</row>
    <row r="430" customFormat="false" ht="15.7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</row>
    <row r="431" customFormat="false" ht="15.7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</row>
    <row r="432" customFormat="false" ht="15.7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</row>
    <row r="433" customFormat="false" ht="15.7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</row>
    <row r="434" customFormat="false" ht="15.7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</row>
    <row r="435" customFormat="false" ht="15.7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</row>
    <row r="436" customFormat="false" ht="15.7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</row>
    <row r="437" customFormat="false" ht="15.7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</row>
    <row r="438" customFormat="false" ht="15.7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</row>
    <row r="439" customFormat="false" ht="15.7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</row>
    <row r="440" customFormat="false" ht="15.7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</row>
    <row r="441" customFormat="false" ht="15.7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</row>
    <row r="442" customFormat="false" ht="15.7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</row>
    <row r="443" customFormat="false" ht="15.7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</row>
    <row r="444" customFormat="false" ht="15.7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</row>
    <row r="445" customFormat="false" ht="15.7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</row>
    <row r="446" customFormat="false" ht="15.7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</row>
    <row r="447" customFormat="false" ht="15.7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</row>
    <row r="448" customFormat="false" ht="15.7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</row>
    <row r="449" customFormat="false" ht="15.7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</row>
    <row r="450" customFormat="false" ht="15.7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</row>
    <row r="451" customFormat="false" ht="15.7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</row>
    <row r="452" customFormat="false" ht="15.7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</row>
    <row r="453" customFormat="false" ht="15.7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</row>
    <row r="454" customFormat="false" ht="15.7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</row>
    <row r="455" customFormat="false" ht="15.7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</row>
    <row r="456" customFormat="false" ht="15.7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</row>
    <row r="457" customFormat="false" ht="15.7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</row>
    <row r="458" customFormat="false" ht="15.7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</row>
    <row r="459" customFormat="false" ht="15.7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</row>
    <row r="460" customFormat="false" ht="15.7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</row>
    <row r="461" customFormat="false" ht="15.7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</row>
    <row r="462" customFormat="false" ht="15.7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</row>
    <row r="463" customFormat="false" ht="15.7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</row>
    <row r="464" customFormat="false" ht="15.7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</row>
    <row r="465" customFormat="false" ht="15.7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</row>
    <row r="466" customFormat="false" ht="15.7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</row>
    <row r="467" customFormat="false" ht="15.7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</row>
    <row r="468" customFormat="false" ht="15.7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</row>
    <row r="469" customFormat="false" ht="15.7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</row>
    <row r="470" customFormat="false" ht="15.7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</row>
    <row r="471" customFormat="false" ht="15.7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</row>
    <row r="472" customFormat="false" ht="15.7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</row>
    <row r="473" customFormat="false" ht="15.7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</row>
    <row r="474" customFormat="false" ht="15.7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</row>
    <row r="475" customFormat="false" ht="15.7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</row>
    <row r="476" customFormat="false" ht="15.7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</row>
    <row r="477" customFormat="false" ht="15.7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</row>
    <row r="478" customFormat="false" ht="15.7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</row>
    <row r="479" customFormat="false" ht="15.7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</row>
    <row r="480" customFormat="false" ht="15.7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</row>
    <row r="481" customFormat="false" ht="15.7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</row>
    <row r="482" customFormat="false" ht="15.7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</row>
    <row r="483" customFormat="false" ht="15.7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</row>
    <row r="484" customFormat="false" ht="15.7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</row>
    <row r="485" customFormat="false" ht="15.7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</row>
    <row r="486" customFormat="false" ht="15.7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</row>
    <row r="487" customFormat="false" ht="15.7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</row>
    <row r="488" customFormat="false" ht="15.7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</row>
    <row r="489" customFormat="false" ht="15.7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</row>
    <row r="490" customFormat="false" ht="15.7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</row>
    <row r="491" customFormat="false" ht="15.7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</row>
    <row r="492" customFormat="false" ht="15.7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</row>
    <row r="493" customFormat="false" ht="15.7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</row>
    <row r="494" customFormat="false" ht="15.7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</row>
    <row r="495" customFormat="false" ht="15.7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</row>
    <row r="496" customFormat="false" ht="15.7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</row>
    <row r="497" customFormat="false" ht="15.7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</row>
    <row r="498" customFormat="false" ht="15.7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</row>
    <row r="499" customFormat="false" ht="15.7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</row>
    <row r="500" customFormat="false" ht="15.7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</row>
    <row r="501" customFormat="false" ht="15.7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</row>
    <row r="502" customFormat="false" ht="15.7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</row>
    <row r="503" customFormat="false" ht="15.7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</row>
    <row r="504" customFormat="false" ht="15.7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</row>
    <row r="505" customFormat="false" ht="15.7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</row>
    <row r="506" customFormat="false" ht="15.7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</row>
    <row r="507" customFormat="false" ht="15.7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</row>
    <row r="508" customFormat="false" ht="15.7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</row>
    <row r="509" customFormat="false" ht="15.7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</row>
    <row r="510" customFormat="false" ht="15.7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</row>
    <row r="511" customFormat="false" ht="15.7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</row>
    <row r="512" customFormat="false" ht="15.7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</row>
    <row r="513" customFormat="false" ht="15.7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</row>
    <row r="514" customFormat="false" ht="15.7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</row>
    <row r="515" customFormat="false" ht="15.7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</row>
    <row r="516" customFormat="false" ht="15.7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</row>
    <row r="517" customFormat="false" ht="15.7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</row>
    <row r="518" customFormat="false" ht="15.7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</row>
    <row r="519" customFormat="false" ht="15.7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</row>
    <row r="520" customFormat="false" ht="15.7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</row>
    <row r="521" customFormat="false" ht="15.7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</row>
    <row r="522" customFormat="false" ht="15.7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</row>
    <row r="523" customFormat="false" ht="15.7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</row>
    <row r="524" customFormat="false" ht="15.7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</row>
    <row r="525" customFormat="false" ht="15.7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</row>
    <row r="526" customFormat="false" ht="15.7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</row>
    <row r="527" customFormat="false" ht="15.7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</row>
    <row r="528" customFormat="false" ht="15.7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</row>
    <row r="529" customFormat="false" ht="15.7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</row>
    <row r="530" customFormat="false" ht="15.7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</row>
    <row r="531" customFormat="false" ht="15.7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</row>
    <row r="532" customFormat="false" ht="15.7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</row>
    <row r="533" customFormat="false" ht="15.7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</row>
    <row r="534" customFormat="false" ht="15.7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</row>
    <row r="535" customFormat="false" ht="15.7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</row>
    <row r="536" customFormat="false" ht="15.7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</row>
    <row r="537" customFormat="false" ht="15.7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</row>
    <row r="538" customFormat="false" ht="15.7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</row>
    <row r="539" customFormat="false" ht="15.7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</row>
    <row r="540" customFormat="false" ht="15.7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</row>
    <row r="541" customFormat="false" ht="15.7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</row>
    <row r="542" customFormat="false" ht="15.7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</row>
    <row r="543" customFormat="false" ht="15.7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</row>
    <row r="544" customFormat="false" ht="15.7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</row>
    <row r="545" customFormat="false" ht="15.7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</row>
    <row r="546" customFormat="false" ht="15.7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</row>
    <row r="547" customFormat="false" ht="15.7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</row>
    <row r="548" customFormat="false" ht="15.7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</row>
    <row r="549" customFormat="false" ht="15.7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</row>
    <row r="550" customFormat="false" ht="15.7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</row>
    <row r="551" customFormat="false" ht="15.7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</row>
    <row r="552" customFormat="false" ht="15.7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</row>
    <row r="553" customFormat="false" ht="15.7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</row>
    <row r="554" customFormat="false" ht="15.7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</row>
    <row r="555" customFormat="false" ht="15.7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</row>
    <row r="556" customFormat="false" ht="15.7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</row>
    <row r="557" customFormat="false" ht="15.7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</row>
    <row r="558" customFormat="false" ht="15.7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</row>
    <row r="559" customFormat="false" ht="15.7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</row>
    <row r="560" customFormat="false" ht="15.7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</row>
    <row r="561" customFormat="false" ht="15.7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</row>
    <row r="562" customFormat="false" ht="15.7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</row>
    <row r="563" customFormat="false" ht="15.7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</row>
    <row r="564" customFormat="false" ht="15.7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</row>
    <row r="565" customFormat="false" ht="15.7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</row>
    <row r="566" customFormat="false" ht="15.7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</row>
    <row r="567" customFormat="false" ht="15.7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</row>
    <row r="568" customFormat="false" ht="15.7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</row>
    <row r="569" customFormat="false" ht="15.7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</row>
    <row r="570" customFormat="false" ht="15.7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</row>
    <row r="571" customFormat="false" ht="15.7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</row>
    <row r="572" customFormat="false" ht="15.7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</row>
    <row r="573" customFormat="false" ht="15.7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</row>
    <row r="574" customFormat="false" ht="15.7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</row>
    <row r="575" customFormat="false" ht="15.7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</row>
    <row r="576" customFormat="false" ht="15.7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</row>
    <row r="577" customFormat="false" ht="15.7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</row>
    <row r="578" customFormat="false" ht="15.7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</row>
    <row r="579" customFormat="false" ht="15.7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</row>
    <row r="580" customFormat="false" ht="15.7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</row>
    <row r="581" customFormat="false" ht="15.7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</row>
    <row r="582" customFormat="false" ht="15.7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</row>
    <row r="583" customFormat="false" ht="15.7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</row>
    <row r="584" customFormat="false" ht="15.7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</row>
    <row r="585" customFormat="false" ht="15.7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</row>
    <row r="586" customFormat="false" ht="15.7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</row>
    <row r="587" customFormat="false" ht="15.7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</row>
    <row r="588" customFormat="false" ht="15.7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</row>
    <row r="589" customFormat="false" ht="15.7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</row>
    <row r="590" customFormat="false" ht="15.7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</row>
    <row r="591" customFormat="false" ht="15.7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</row>
    <row r="592" customFormat="false" ht="15.7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</row>
    <row r="593" customFormat="false" ht="15.7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</row>
    <row r="594" customFormat="false" ht="15.7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</row>
    <row r="595" customFormat="false" ht="15.7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</row>
    <row r="596" customFormat="false" ht="15.7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</row>
    <row r="597" customFormat="false" ht="15.7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</row>
    <row r="598" customFormat="false" ht="15.7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</row>
    <row r="599" customFormat="false" ht="15.7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</row>
    <row r="600" customFormat="false" ht="15.7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</row>
    <row r="601" customFormat="false" ht="15.7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</row>
    <row r="602" customFormat="false" ht="15.7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</row>
    <row r="603" customFormat="false" ht="15.7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</row>
    <row r="604" customFormat="false" ht="15.7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</row>
    <row r="605" customFormat="false" ht="15.7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</row>
    <row r="606" customFormat="false" ht="15.7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</row>
    <row r="607" customFormat="false" ht="15.7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</row>
    <row r="608" customFormat="false" ht="15.7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</row>
    <row r="609" customFormat="false" ht="15.7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</row>
    <row r="610" customFormat="false" ht="15.7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</row>
    <row r="611" customFormat="false" ht="15.7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</row>
    <row r="612" customFormat="false" ht="15.7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</row>
    <row r="613" customFormat="false" ht="15.7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</row>
    <row r="614" customFormat="false" ht="15.7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</row>
    <row r="615" customFormat="false" ht="15.7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</row>
    <row r="616" customFormat="false" ht="15.7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</row>
    <row r="617" customFormat="false" ht="15.7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</row>
    <row r="618" customFormat="false" ht="15.7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</row>
    <row r="619" customFormat="false" ht="15.7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</row>
    <row r="620" customFormat="false" ht="15.7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</row>
    <row r="621" customFormat="false" ht="15.7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</row>
    <row r="622" customFormat="false" ht="15.7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</row>
    <row r="623" customFormat="false" ht="15.7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</row>
    <row r="624" customFormat="false" ht="15.7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</row>
    <row r="625" customFormat="false" ht="15.7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</row>
    <row r="626" customFormat="false" ht="15.7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</row>
    <row r="627" customFormat="false" ht="15.7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</row>
    <row r="628" customFormat="false" ht="15.7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</row>
    <row r="629" customFormat="false" ht="15.7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</row>
    <row r="630" customFormat="false" ht="15.7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</row>
    <row r="631" customFormat="false" ht="15.7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</row>
    <row r="632" customFormat="false" ht="15.7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</row>
    <row r="633" customFormat="false" ht="15.7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</row>
    <row r="634" customFormat="false" ht="15.7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</row>
    <row r="635" customFormat="false" ht="15.7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</row>
    <row r="636" customFormat="false" ht="15.7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</row>
    <row r="637" customFormat="false" ht="15.7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</row>
    <row r="638" customFormat="false" ht="15.7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</row>
    <row r="639" customFormat="false" ht="15.7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</row>
    <row r="640" customFormat="false" ht="15.7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</row>
    <row r="641" customFormat="false" ht="15.7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</row>
    <row r="642" customFormat="false" ht="15.7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</row>
    <row r="643" customFormat="false" ht="15.7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</row>
    <row r="644" customFormat="false" ht="15.7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</row>
    <row r="645" customFormat="false" ht="15.7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</row>
    <row r="646" customFormat="false" ht="15.7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</row>
    <row r="647" customFormat="false" ht="15.7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</row>
    <row r="648" customFormat="false" ht="15.7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</row>
    <row r="649" customFormat="false" ht="15.7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</row>
    <row r="650" customFormat="false" ht="15.7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</row>
    <row r="651" customFormat="false" ht="15.7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</row>
    <row r="652" customFormat="false" ht="15.7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</row>
    <row r="653" customFormat="false" ht="15.7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</row>
    <row r="654" customFormat="false" ht="15.7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</row>
    <row r="655" customFormat="false" ht="15.7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</row>
    <row r="656" customFormat="false" ht="15.7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</row>
    <row r="657" customFormat="false" ht="15.7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</row>
    <row r="658" customFormat="false" ht="15.7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</row>
    <row r="659" customFormat="false" ht="15.7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</row>
    <row r="660" customFormat="false" ht="15.7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</row>
    <row r="661" customFormat="false" ht="15.7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</row>
    <row r="662" customFormat="false" ht="15.7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</row>
    <row r="663" customFormat="false" ht="15.7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</row>
    <row r="664" customFormat="false" ht="15.7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</row>
    <row r="665" customFormat="false" ht="15.7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</row>
    <row r="666" customFormat="false" ht="15.7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</row>
    <row r="667" customFormat="false" ht="15.7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</row>
    <row r="668" customFormat="false" ht="15.7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</row>
    <row r="669" customFormat="false" ht="15.7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</row>
    <row r="670" customFormat="false" ht="15.7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</row>
    <row r="671" customFormat="false" ht="15.7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</row>
    <row r="672" customFormat="false" ht="15.7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</row>
    <row r="673" customFormat="false" ht="15.7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</row>
    <row r="674" customFormat="false" ht="15.7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</row>
    <row r="675" customFormat="false" ht="15.7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</row>
    <row r="676" customFormat="false" ht="15.7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</row>
    <row r="677" customFormat="false" ht="15.7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</row>
    <row r="678" customFormat="false" ht="15.7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</row>
    <row r="679" customFormat="false" ht="15.7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</row>
    <row r="680" customFormat="false" ht="15.7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</row>
    <row r="681" customFormat="false" ht="15.7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</row>
    <row r="682" customFormat="false" ht="15.7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</row>
    <row r="683" customFormat="false" ht="15.7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</row>
    <row r="684" customFormat="false" ht="15.7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</row>
    <row r="685" customFormat="false" ht="15.7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</row>
    <row r="686" customFormat="false" ht="15.7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</row>
    <row r="687" customFormat="false" ht="15.7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</row>
    <row r="688" customFormat="false" ht="15.7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</row>
    <row r="689" customFormat="false" ht="15.7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</row>
    <row r="690" customFormat="false" ht="15.7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</row>
    <row r="691" customFormat="false" ht="15.7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</row>
    <row r="692" customFormat="false" ht="15.7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</row>
    <row r="693" customFormat="false" ht="15.7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</row>
    <row r="694" customFormat="false" ht="15.7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</row>
    <row r="695" customFormat="false" ht="15.7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</row>
    <row r="696" customFormat="false" ht="15.7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</row>
    <row r="697" customFormat="false" ht="15.7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</row>
    <row r="698" customFormat="false" ht="15.7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</row>
    <row r="699" customFormat="false" ht="15.7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</row>
    <row r="700" customFormat="false" ht="15.7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</row>
    <row r="701" customFormat="false" ht="15.7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</row>
    <row r="702" customFormat="false" ht="15.7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</row>
    <row r="703" customFormat="false" ht="15.7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</row>
    <row r="704" customFormat="false" ht="15.7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</row>
    <row r="705" customFormat="false" ht="15.7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</row>
    <row r="706" customFormat="false" ht="15.7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</row>
    <row r="707" customFormat="false" ht="15.7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</row>
    <row r="708" customFormat="false" ht="15.7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</row>
    <row r="709" customFormat="false" ht="15.7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</row>
    <row r="710" customFormat="false" ht="15.7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</row>
    <row r="711" customFormat="false" ht="15.7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</row>
    <row r="712" customFormat="false" ht="15.7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</row>
    <row r="713" customFormat="false" ht="15.7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</row>
    <row r="714" customFormat="false" ht="15.7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</row>
    <row r="715" customFormat="false" ht="15.7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</row>
    <row r="716" customFormat="false" ht="15.7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</row>
    <row r="717" customFormat="false" ht="15.7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</row>
    <row r="718" customFormat="false" ht="15.7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</row>
    <row r="719" customFormat="false" ht="15.7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</row>
    <row r="720" customFormat="false" ht="15.7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</row>
    <row r="721" customFormat="false" ht="15.7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</row>
    <row r="722" customFormat="false" ht="15.7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</row>
    <row r="723" customFormat="false" ht="15.7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</row>
    <row r="724" customFormat="false" ht="15.7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</row>
    <row r="725" customFormat="false" ht="15.7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</row>
    <row r="726" customFormat="false" ht="15.7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</row>
    <row r="727" customFormat="false" ht="15.7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</row>
    <row r="728" customFormat="false" ht="15.7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</row>
    <row r="729" customFormat="false" ht="15.7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</row>
    <row r="730" customFormat="false" ht="15.7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</row>
    <row r="731" customFormat="false" ht="15.7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</row>
    <row r="732" customFormat="false" ht="15.7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</row>
    <row r="733" customFormat="false" ht="15.7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</row>
    <row r="734" customFormat="false" ht="15.7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</row>
    <row r="735" customFormat="false" ht="15.7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</row>
    <row r="736" customFormat="false" ht="15.7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</row>
    <row r="737" customFormat="false" ht="15.7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</row>
    <row r="738" customFormat="false" ht="15.7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</row>
    <row r="739" customFormat="false" ht="15.7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</row>
    <row r="740" customFormat="false" ht="15.7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</row>
    <row r="741" customFormat="false" ht="15.7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</row>
    <row r="742" customFormat="false" ht="15.7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</row>
    <row r="743" customFormat="false" ht="15.7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</row>
    <row r="744" customFormat="false" ht="15.7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</row>
    <row r="745" customFormat="false" ht="15.7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</row>
    <row r="746" customFormat="false" ht="15.7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</row>
    <row r="747" customFormat="false" ht="15.7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</row>
    <row r="748" customFormat="false" ht="15.7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</row>
    <row r="749" customFormat="false" ht="15.7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</row>
    <row r="750" customFormat="false" ht="15.7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</row>
    <row r="751" customFormat="false" ht="15.7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</row>
    <row r="752" customFormat="false" ht="15.7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</row>
    <row r="753" customFormat="false" ht="15.7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</row>
    <row r="754" customFormat="false" ht="15.7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</row>
    <row r="755" customFormat="false" ht="15.7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</row>
    <row r="756" customFormat="false" ht="15.7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</row>
    <row r="757" customFormat="false" ht="15.7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</row>
    <row r="758" customFormat="false" ht="15.7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</row>
    <row r="759" customFormat="false" ht="15.7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</row>
    <row r="760" customFormat="false" ht="15.7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</row>
    <row r="761" customFormat="false" ht="15.7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</row>
    <row r="762" customFormat="false" ht="15.7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</row>
    <row r="763" customFormat="false" ht="15.7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</row>
    <row r="764" customFormat="false" ht="15.7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</row>
    <row r="765" customFormat="false" ht="15.7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</row>
    <row r="766" customFormat="false" ht="15.7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</row>
    <row r="767" customFormat="false" ht="15.7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</row>
    <row r="768" customFormat="false" ht="15.7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</row>
    <row r="769" customFormat="false" ht="15.7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</row>
    <row r="770" customFormat="false" ht="15.7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</row>
    <row r="771" customFormat="false" ht="15.7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</row>
    <row r="772" customFormat="false" ht="15.7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</row>
    <row r="773" customFormat="false" ht="15.7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</row>
    <row r="774" customFormat="false" ht="15.7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</row>
    <row r="775" customFormat="false" ht="15.7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</row>
    <row r="776" customFormat="false" ht="15.7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</row>
    <row r="777" customFormat="false" ht="15.7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</row>
    <row r="778" customFormat="false" ht="15.7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</row>
    <row r="779" customFormat="false" ht="15.7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</row>
    <row r="780" customFormat="false" ht="15.7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</row>
    <row r="781" customFormat="false" ht="15.7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</row>
    <row r="782" customFormat="false" ht="15.7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</row>
    <row r="783" customFormat="false" ht="15.7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</row>
    <row r="784" customFormat="false" ht="15.7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</row>
    <row r="785" customFormat="false" ht="15.7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</row>
    <row r="786" customFormat="false" ht="15.7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</row>
    <row r="787" customFormat="false" ht="15.7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</row>
    <row r="788" customFormat="false" ht="15.7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</row>
    <row r="789" customFormat="false" ht="15.7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</row>
    <row r="790" customFormat="false" ht="15.7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</row>
    <row r="791" customFormat="false" ht="15.7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</row>
    <row r="792" customFormat="false" ht="15.7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</row>
    <row r="793" customFormat="false" ht="15.7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</row>
    <row r="794" customFormat="false" ht="15.7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</row>
    <row r="795" customFormat="false" ht="15.7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</row>
    <row r="796" customFormat="false" ht="15.7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</row>
    <row r="797" customFormat="false" ht="15.7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</row>
    <row r="798" customFormat="false" ht="15.7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</row>
    <row r="799" customFormat="false" ht="15.7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</row>
    <row r="800" customFormat="false" ht="15.7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</row>
    <row r="801" customFormat="false" ht="15.7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</row>
    <row r="802" customFormat="false" ht="15.7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</row>
    <row r="803" customFormat="false" ht="15.7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</row>
    <row r="804" customFormat="false" ht="15.7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</row>
    <row r="805" customFormat="false" ht="15.7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</row>
    <row r="806" customFormat="false" ht="15.7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</row>
    <row r="807" customFormat="false" ht="15.7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</row>
    <row r="808" customFormat="false" ht="15.7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</row>
    <row r="809" customFormat="false" ht="15.7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</row>
    <row r="810" customFormat="false" ht="15.7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</row>
    <row r="811" customFormat="false" ht="15.7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</row>
    <row r="812" customFormat="false" ht="15.7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</row>
    <row r="813" customFormat="false" ht="15.7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</row>
    <row r="814" customFormat="false" ht="15.7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</row>
    <row r="815" customFormat="false" ht="15.7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</row>
    <row r="816" customFormat="false" ht="15.7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</row>
    <row r="817" customFormat="false" ht="15.7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</row>
    <row r="818" customFormat="false" ht="15.7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</row>
    <row r="819" customFormat="false" ht="15.7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</row>
    <row r="820" customFormat="false" ht="15.7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</row>
    <row r="821" customFormat="false" ht="15.7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</row>
    <row r="822" customFormat="false" ht="15.7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</row>
    <row r="823" customFormat="false" ht="15.7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</row>
    <row r="824" customFormat="false" ht="15.7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</row>
    <row r="825" customFormat="false" ht="15.7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</row>
    <row r="826" customFormat="false" ht="15.7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</row>
    <row r="827" customFormat="false" ht="15.7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</row>
    <row r="828" customFormat="false" ht="15.7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</row>
    <row r="829" customFormat="false" ht="15.7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</row>
    <row r="830" customFormat="false" ht="15.7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</row>
    <row r="831" customFormat="false" ht="15.7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</row>
    <row r="832" customFormat="false" ht="15.7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</row>
    <row r="833" customFormat="false" ht="15.7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</row>
    <row r="834" customFormat="false" ht="15.7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</row>
    <row r="835" customFormat="false" ht="15.7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</row>
    <row r="836" customFormat="false" ht="15.7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</row>
    <row r="837" customFormat="false" ht="15.7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</row>
    <row r="838" customFormat="false" ht="15.7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</row>
    <row r="839" customFormat="false" ht="15.7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</row>
    <row r="840" customFormat="false" ht="15.7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</row>
    <row r="841" customFormat="false" ht="15.7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</row>
    <row r="842" customFormat="false" ht="15.7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</row>
    <row r="843" customFormat="false" ht="15.7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</row>
    <row r="844" customFormat="false" ht="15.7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</row>
    <row r="845" customFormat="false" ht="15.7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</row>
    <row r="846" customFormat="false" ht="15.7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</row>
    <row r="847" customFormat="false" ht="15.7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</row>
    <row r="848" customFormat="false" ht="15.7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</row>
    <row r="849" customFormat="false" ht="15.7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</row>
    <row r="850" customFormat="false" ht="15.7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</row>
    <row r="851" customFormat="false" ht="15.7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</row>
    <row r="852" customFormat="false" ht="15.7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</row>
    <row r="853" customFormat="false" ht="15.7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</row>
    <row r="854" customFormat="false" ht="15.7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</row>
    <row r="855" customFormat="false" ht="15.7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</row>
    <row r="856" customFormat="false" ht="15.7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</row>
    <row r="857" customFormat="false" ht="15.7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</row>
    <row r="858" customFormat="false" ht="15.7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</row>
    <row r="859" customFormat="false" ht="15.7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</row>
    <row r="860" customFormat="false" ht="15.7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</row>
    <row r="861" customFormat="false" ht="15.7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</row>
    <row r="862" customFormat="false" ht="15.7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</row>
    <row r="863" customFormat="false" ht="15.7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</row>
    <row r="864" customFormat="false" ht="15.7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</row>
    <row r="865" customFormat="false" ht="15.7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</row>
    <row r="866" customFormat="false" ht="15.7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</row>
    <row r="867" customFormat="false" ht="15.7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</row>
    <row r="868" customFormat="false" ht="15.7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</row>
    <row r="869" customFormat="false" ht="15.7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</row>
    <row r="870" customFormat="false" ht="15.7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</row>
    <row r="871" customFormat="false" ht="15.7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</row>
    <row r="872" customFormat="false" ht="15.7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</row>
    <row r="873" customFormat="false" ht="15.7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</row>
    <row r="874" customFormat="false" ht="15.7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</row>
    <row r="875" customFormat="false" ht="15.7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</row>
    <row r="876" customFormat="false" ht="15.7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</row>
    <row r="877" customFormat="false" ht="15.7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</row>
    <row r="878" customFormat="false" ht="15.7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</row>
    <row r="879" customFormat="false" ht="15.7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</row>
    <row r="880" customFormat="false" ht="15.7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</row>
    <row r="881" customFormat="false" ht="15.7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</row>
    <row r="882" customFormat="false" ht="15.7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</row>
    <row r="883" customFormat="false" ht="15.7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</row>
    <row r="884" customFormat="false" ht="15.7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</row>
    <row r="885" customFormat="false" ht="15.7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</row>
    <row r="886" customFormat="false" ht="15.7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</row>
    <row r="887" customFormat="false" ht="15.7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</row>
    <row r="888" customFormat="false" ht="15.7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</row>
    <row r="889" customFormat="false" ht="15.7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</row>
    <row r="890" customFormat="false" ht="15.7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</row>
    <row r="891" customFormat="false" ht="15.7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</row>
    <row r="892" customFormat="false" ht="15.7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</row>
    <row r="893" customFormat="false" ht="15.7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</row>
    <row r="894" customFormat="false" ht="15.7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</row>
    <row r="895" customFormat="false" ht="15.7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</row>
    <row r="896" customFormat="false" ht="15.7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</row>
    <row r="897" customFormat="false" ht="15.7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</row>
    <row r="898" customFormat="false" ht="15.7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</row>
    <row r="899" customFormat="false" ht="15.7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</row>
    <row r="900" customFormat="false" ht="15.7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</row>
    <row r="901" customFormat="false" ht="15.7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</row>
    <row r="902" customFormat="false" ht="15.7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</row>
    <row r="903" customFormat="false" ht="15.7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</row>
    <row r="904" customFormat="false" ht="15.7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</row>
    <row r="905" customFormat="false" ht="15.7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</row>
    <row r="906" customFormat="false" ht="15.7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</row>
    <row r="907" customFormat="false" ht="15.7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</row>
    <row r="908" customFormat="false" ht="15.7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</row>
    <row r="909" customFormat="false" ht="15.7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</row>
    <row r="910" customFormat="false" ht="15.7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</row>
    <row r="911" customFormat="false" ht="15.7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</row>
    <row r="912" customFormat="false" ht="15.7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</row>
    <row r="913" customFormat="false" ht="15.7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</row>
    <row r="914" customFormat="false" ht="15.7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</row>
    <row r="915" customFormat="false" ht="15.7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</row>
    <row r="916" customFormat="false" ht="15.7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</row>
    <row r="917" customFormat="false" ht="15.7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</row>
    <row r="918" customFormat="false" ht="15.7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</row>
    <row r="919" customFormat="false" ht="15.7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</row>
    <row r="920" customFormat="false" ht="15.7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</row>
    <row r="921" customFormat="false" ht="15.7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</row>
    <row r="922" customFormat="false" ht="15.7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</row>
    <row r="923" customFormat="false" ht="15.7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</row>
    <row r="924" customFormat="false" ht="15.7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</row>
    <row r="925" customFormat="false" ht="15.7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</row>
    <row r="926" customFormat="false" ht="15.7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</row>
    <row r="927" customFormat="false" ht="15.7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</row>
    <row r="928" customFormat="false" ht="15.7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</row>
    <row r="929" customFormat="false" ht="15.7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</row>
    <row r="930" customFormat="false" ht="15.7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</row>
    <row r="931" customFormat="false" ht="15.7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</row>
    <row r="932" customFormat="false" ht="15.7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</row>
    <row r="933" customFormat="false" ht="15.7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</row>
    <row r="934" customFormat="false" ht="15.7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</row>
    <row r="935" customFormat="false" ht="15.7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</row>
    <row r="936" customFormat="false" ht="15.7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</row>
    <row r="937" customFormat="false" ht="15.7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</row>
    <row r="938" customFormat="false" ht="15.7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</row>
    <row r="939" customFormat="false" ht="15.7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</row>
    <row r="940" customFormat="false" ht="15.7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</row>
    <row r="941" customFormat="false" ht="15.7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</row>
    <row r="942" customFormat="false" ht="15.7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</row>
    <row r="943" customFormat="false" ht="15.7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</row>
    <row r="944" customFormat="false" ht="15.7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</row>
    <row r="945" customFormat="false" ht="15.7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</row>
    <row r="946" customFormat="false" ht="15.7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</row>
    <row r="947" customFormat="false" ht="15.7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</row>
    <row r="948" customFormat="false" ht="15.7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</row>
    <row r="949" customFormat="false" ht="15.7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</row>
    <row r="950" customFormat="false" ht="15.7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</row>
    <row r="951" customFormat="false" ht="15.7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</row>
    <row r="952" customFormat="false" ht="15.7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</row>
    <row r="953" customFormat="false" ht="15.7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</row>
    <row r="954" customFormat="false" ht="15.7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</row>
    <row r="955" customFormat="false" ht="15.7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</row>
    <row r="956" customFormat="false" ht="15.7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</row>
    <row r="957" customFormat="false" ht="15.7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</row>
    <row r="958" customFormat="false" ht="15.7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</row>
    <row r="959" customFormat="false" ht="15.7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</row>
    <row r="960" customFormat="false" ht="15.7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</row>
    <row r="961" customFormat="false" ht="15.7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</row>
    <row r="962" customFormat="false" ht="15.7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</row>
    <row r="963" customFormat="false" ht="15.7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</row>
    <row r="964" customFormat="false" ht="15.7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</row>
    <row r="965" customFormat="false" ht="15.7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</row>
    <row r="966" customFormat="false" ht="15.7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</row>
    <row r="967" customFormat="false" ht="15.7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</row>
    <row r="968" customFormat="false" ht="15.7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</row>
    <row r="969" customFormat="false" ht="15.7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</row>
    <row r="970" customFormat="false" ht="15.7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</row>
    <row r="971" customFormat="false" ht="15.7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</row>
    <row r="972" customFormat="false" ht="15.7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</row>
    <row r="973" customFormat="false" ht="15.7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</row>
    <row r="974" customFormat="false" ht="15.7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</row>
    <row r="975" customFormat="false" ht="15.7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</row>
    <row r="976" customFormat="false" ht="15.7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</row>
    <row r="977" customFormat="false" ht="15.7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</row>
    <row r="978" customFormat="false" ht="15.7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</row>
    <row r="979" customFormat="false" ht="15.7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</row>
    <row r="980" customFormat="false" ht="15.7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</row>
    <row r="981" customFormat="false" ht="15.7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</row>
    <row r="982" customFormat="false" ht="15.7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</row>
    <row r="983" customFormat="false" ht="15.7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</row>
    <row r="984" customFormat="false" ht="15.7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</row>
    <row r="985" customFormat="false" ht="15.7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</row>
    <row r="986" customFormat="false" ht="15.7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</row>
    <row r="987" customFormat="false" ht="15.7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</row>
    <row r="988" customFormat="false" ht="15.7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</row>
    <row r="989" customFormat="false" ht="15.7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</row>
    <row r="990" customFormat="false" ht="15.7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</row>
    <row r="991" customFormat="false" ht="15.7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</row>
    <row r="992" customFormat="false" ht="15.7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</row>
    <row r="993" customFormat="false" ht="15.7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</row>
    <row r="994" customFormat="false" ht="15.7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</row>
    <row r="995" customFormat="false" ht="15.7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</row>
    <row r="996" customFormat="false" ht="15.7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</row>
    <row r="997" customFormat="false" ht="15.75" hidden="false" customHeight="true" outlineLevel="0" collapsed="false">
      <c r="A997" s="2"/>
      <c r="B997" s="2"/>
      <c r="C997" s="2"/>
      <c r="D997" s="2"/>
      <c r="E997" s="2"/>
      <c r="F997" s="2"/>
      <c r="G997" s="2"/>
      <c r="H997" s="2"/>
    </row>
    <row r="998" customFormat="false" ht="15.75" hidden="false" customHeight="true" outlineLevel="0" collapsed="false">
      <c r="A998" s="2"/>
      <c r="B998" s="2"/>
      <c r="C998" s="2"/>
      <c r="D998" s="2"/>
      <c r="E998" s="2"/>
      <c r="F998" s="2"/>
      <c r="G998" s="2"/>
      <c r="H998" s="2"/>
    </row>
    <row r="999" customFormat="false" ht="15.75" hidden="false" customHeight="true" outlineLevel="0" collapsed="false">
      <c r="A999" s="2"/>
      <c r="B999" s="2"/>
      <c r="C999" s="2"/>
      <c r="D999" s="2"/>
      <c r="E999" s="2"/>
      <c r="F999" s="2"/>
      <c r="G999" s="2"/>
      <c r="H999" s="2"/>
    </row>
    <row r="1000" customFormat="false" ht="15.75" hidden="false" customHeight="true" outlineLevel="0" collapsed="false">
      <c r="A1000" s="2"/>
      <c r="B1000" s="2"/>
      <c r="C1000" s="2"/>
      <c r="D1000" s="2"/>
      <c r="E1000" s="2"/>
      <c r="F1000" s="2"/>
      <c r="G1000" s="2"/>
      <c r="H1000" s="2"/>
    </row>
  </sheetData>
  <mergeCells count="22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26:G26"/>
    <mergeCell ref="B27:H27"/>
    <mergeCell ref="D29:H29"/>
    <mergeCell ref="B32:G32"/>
    <mergeCell ref="B33:G33"/>
    <mergeCell ref="B34:G34"/>
    <mergeCell ref="B36:G36"/>
    <mergeCell ref="B37:G37"/>
    <mergeCell ref="B38:G38"/>
  </mergeCells>
  <conditionalFormatting sqref="H40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9.7" hidden="false" customHeight="false" outlineLevel="0" collapsed="false">
      <c r="A2" s="2"/>
      <c r="B2" s="3" t="s">
        <v>854</v>
      </c>
      <c r="C2" s="3"/>
      <c r="D2" s="3"/>
      <c r="E2" s="3"/>
      <c r="F2" s="3"/>
      <c r="G2" s="3"/>
      <c r="H2" s="3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2"/>
      <c r="B4" s="4" t="s">
        <v>785</v>
      </c>
      <c r="C4" s="14" t="s">
        <v>855</v>
      </c>
      <c r="D4" s="14"/>
      <c r="E4" s="14"/>
      <c r="F4" s="14"/>
      <c r="G4" s="14"/>
      <c r="H4" s="14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15" hidden="false" customHeight="false" outlineLevel="0" collapsed="false">
      <c r="A5" s="2"/>
      <c r="B5" s="4" t="s">
        <v>787</v>
      </c>
      <c r="C5" s="14" t="s">
        <v>856</v>
      </c>
      <c r="D5" s="14"/>
      <c r="E5" s="14"/>
      <c r="F5" s="14"/>
      <c r="G5" s="14"/>
      <c r="H5" s="14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15" hidden="false" customHeight="false" outlineLevel="0" collapsed="false">
      <c r="A6" s="2"/>
      <c r="B6" s="4" t="s">
        <v>18</v>
      </c>
      <c r="C6" s="14" t="s">
        <v>826</v>
      </c>
      <c r="D6" s="14"/>
      <c r="E6" s="14"/>
      <c r="F6" s="14"/>
      <c r="G6" s="14"/>
      <c r="H6" s="14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15" hidden="false" customHeight="false" outlineLevel="0" collapsed="false">
      <c r="A7" s="2"/>
      <c r="B7" s="4" t="s">
        <v>790</v>
      </c>
      <c r="C7" s="14" t="s">
        <v>857</v>
      </c>
      <c r="D7" s="14"/>
      <c r="E7" s="14"/>
      <c r="F7" s="14"/>
      <c r="G7" s="14"/>
      <c r="H7" s="14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15" hidden="false" customHeight="false" outlineLevel="0" collapsed="false">
      <c r="A8" s="2"/>
      <c r="B8" s="4" t="s">
        <v>792</v>
      </c>
      <c r="C8" s="32" t="n">
        <f aca="false">RINGKASAN!$K$22</f>
        <v>74785598</v>
      </c>
      <c r="D8" s="32"/>
      <c r="E8" s="32"/>
      <c r="F8" s="32"/>
      <c r="G8" s="32"/>
      <c r="H8" s="3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15" hidden="false" customHeight="false" outlineLevel="0" collapsed="false">
      <c r="A9" s="2"/>
      <c r="B9" s="4" t="s">
        <v>81</v>
      </c>
      <c r="C9" s="14" t="s">
        <v>793</v>
      </c>
      <c r="D9" s="14"/>
      <c r="E9" s="14"/>
      <c r="F9" s="14"/>
      <c r="G9" s="14"/>
      <c r="H9" s="14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15" hidden="false" customHeight="false" outlineLevel="0" collapsed="false">
      <c r="A10" s="2"/>
      <c r="B10" s="4" t="s">
        <v>9</v>
      </c>
      <c r="C10" s="14" t="s">
        <v>10</v>
      </c>
      <c r="D10" s="14"/>
      <c r="E10" s="14"/>
      <c r="F10" s="14"/>
      <c r="G10" s="14"/>
      <c r="H10" s="14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21.75" hidden="false" customHeight="true" outlineLevel="0" collapsed="false">
      <c r="A12" s="2"/>
      <c r="B12" s="15" t="s">
        <v>794</v>
      </c>
      <c r="C12" s="15"/>
      <c r="D12" s="15"/>
      <c r="E12" s="15"/>
      <c r="F12" s="15"/>
      <c r="G12" s="15"/>
      <c r="H12" s="15"/>
    </row>
    <row r="13" customFormat="false" ht="27.75" hidden="false" customHeight="true" outlineLevel="0" collapsed="false">
      <c r="A13" s="2"/>
      <c r="B13" s="7" t="s">
        <v>16</v>
      </c>
      <c r="C13" s="7" t="s">
        <v>795</v>
      </c>
      <c r="D13" s="7" t="s">
        <v>796</v>
      </c>
      <c r="E13" s="7" t="s">
        <v>797</v>
      </c>
      <c r="F13" s="7" t="s">
        <v>89</v>
      </c>
      <c r="G13" s="7" t="s">
        <v>90</v>
      </c>
      <c r="H13" s="7" t="s">
        <v>798</v>
      </c>
    </row>
    <row r="14" customFormat="false" ht="21.75" hidden="false" customHeight="true" outlineLevel="0" collapsed="false">
      <c r="A14" s="2"/>
      <c r="B14" s="33" t="s">
        <v>799</v>
      </c>
      <c r="C14" s="34" t="s">
        <v>800</v>
      </c>
      <c r="D14" s="35"/>
      <c r="E14" s="35"/>
      <c r="F14" s="35"/>
      <c r="G14" s="35"/>
      <c r="H14" s="35"/>
    </row>
    <row r="15" customFormat="false" ht="36" hidden="false" customHeight="true" outlineLevel="0" collapsed="false">
      <c r="A15" s="2"/>
      <c r="B15" s="9" t="s">
        <v>801</v>
      </c>
      <c r="C15" s="17" t="s">
        <v>106</v>
      </c>
      <c r="D15" s="36" t="n">
        <v>34</v>
      </c>
      <c r="E15" s="36" t="n">
        <v>34</v>
      </c>
      <c r="F15" s="18" t="s">
        <v>94</v>
      </c>
      <c r="G15" s="8" t="n">
        <f aca="false">'Master of Price'!$G$18</f>
        <v>352000</v>
      </c>
      <c r="H15" s="8" t="n">
        <f aca="false">E15*G15</f>
        <v>11968000</v>
      </c>
    </row>
    <row r="16" customFormat="false" ht="27.75" hidden="false" customHeight="true" outlineLevel="0" collapsed="false">
      <c r="A16" s="2"/>
      <c r="B16" s="9" t="s">
        <v>802</v>
      </c>
      <c r="C16" s="17" t="s">
        <v>96</v>
      </c>
      <c r="D16" s="36" t="n">
        <v>34</v>
      </c>
      <c r="E16" s="36" t="n">
        <v>34</v>
      </c>
      <c r="F16" s="18" t="s">
        <v>94</v>
      </c>
      <c r="G16" s="8" t="n">
        <f aca="false">'Master of Price'!$G$13</f>
        <v>100000</v>
      </c>
      <c r="H16" s="8" t="n">
        <f aca="false">E16*G16</f>
        <v>3400000</v>
      </c>
    </row>
    <row r="17" customFormat="false" ht="27.75" hidden="false" customHeight="true" outlineLevel="0" collapsed="false">
      <c r="A17" s="2"/>
      <c r="B17" s="9" t="s">
        <v>803</v>
      </c>
      <c r="C17" s="17" t="s">
        <v>98</v>
      </c>
      <c r="D17" s="36" t="n">
        <v>34</v>
      </c>
      <c r="E17" s="36" t="n">
        <v>34</v>
      </c>
      <c r="F17" s="18" t="s">
        <v>94</v>
      </c>
      <c r="G17" s="8" t="n">
        <f aca="false">'Master of Price'!$G$14</f>
        <v>28000</v>
      </c>
      <c r="H17" s="8" t="n">
        <f aca="false">E17*G17</f>
        <v>952000</v>
      </c>
    </row>
    <row r="18" customFormat="false" ht="27.75" hidden="false" customHeight="true" outlineLevel="0" collapsed="false">
      <c r="A18" s="2"/>
      <c r="B18" s="9" t="s">
        <v>804</v>
      </c>
      <c r="C18" s="17" t="s">
        <v>100</v>
      </c>
      <c r="D18" s="36" t="n">
        <v>34</v>
      </c>
      <c r="E18" s="36" t="n">
        <v>34</v>
      </c>
      <c r="F18" s="18" t="s">
        <v>94</v>
      </c>
      <c r="G18" s="8" t="n">
        <f aca="false">'Master of Price'!$G$15</f>
        <v>45000</v>
      </c>
      <c r="H18" s="8" t="n">
        <f aca="false">E18*G18</f>
        <v>1530000</v>
      </c>
    </row>
    <row r="19" customFormat="false" ht="27.75" hidden="false" customHeight="true" outlineLevel="0" collapsed="false">
      <c r="A19" s="2"/>
      <c r="B19" s="9" t="s">
        <v>805</v>
      </c>
      <c r="C19" s="17" t="s">
        <v>102</v>
      </c>
      <c r="D19" s="36" t="n">
        <v>34</v>
      </c>
      <c r="E19" s="36" t="n">
        <v>34</v>
      </c>
      <c r="F19" s="18" t="s">
        <v>94</v>
      </c>
      <c r="G19" s="8" t="n">
        <f aca="false">'Master of Price'!$G$16</f>
        <v>75000</v>
      </c>
      <c r="H19" s="8" t="n">
        <f aca="false">E19*G19</f>
        <v>2550000</v>
      </c>
    </row>
    <row r="20" customFormat="false" ht="25.5" hidden="false" customHeight="true" outlineLevel="0" collapsed="false">
      <c r="A20" s="2"/>
      <c r="B20" s="23" t="s">
        <v>806</v>
      </c>
      <c r="C20" s="23"/>
      <c r="D20" s="23"/>
      <c r="E20" s="23"/>
      <c r="F20" s="23"/>
      <c r="G20" s="23"/>
      <c r="H20" s="11" t="n">
        <f aca="false">SUM(H15:H19)</f>
        <v>20400000</v>
      </c>
    </row>
    <row r="21" customFormat="false" ht="21.75" hidden="false" customHeight="true" outlineLevel="0" collapsed="false">
      <c r="A21" s="2"/>
      <c r="B21" s="15" t="s">
        <v>807</v>
      </c>
      <c r="C21" s="15"/>
      <c r="D21" s="15"/>
      <c r="E21" s="15"/>
      <c r="F21" s="15"/>
      <c r="G21" s="15"/>
      <c r="H21" s="15"/>
    </row>
    <row r="22" customFormat="false" ht="27.75" hidden="false" customHeight="true" outlineLevel="0" collapsed="false">
      <c r="A22" s="2"/>
      <c r="B22" s="7" t="s">
        <v>16</v>
      </c>
      <c r="C22" s="7" t="s">
        <v>795</v>
      </c>
      <c r="D22" s="7" t="s">
        <v>796</v>
      </c>
      <c r="E22" s="7" t="s">
        <v>797</v>
      </c>
      <c r="F22" s="7" t="s">
        <v>89</v>
      </c>
      <c r="G22" s="7" t="s">
        <v>90</v>
      </c>
      <c r="H22" s="7" t="s">
        <v>798</v>
      </c>
    </row>
    <row r="23" customFormat="false" ht="21.75" hidden="false" customHeight="true" outlineLevel="0" collapsed="false">
      <c r="A23" s="2"/>
      <c r="B23" s="33" t="s">
        <v>808</v>
      </c>
      <c r="C23" s="34" t="s">
        <v>809</v>
      </c>
      <c r="D23" s="35"/>
      <c r="E23" s="35"/>
      <c r="F23" s="35"/>
      <c r="G23" s="35"/>
      <c r="H23" s="35"/>
    </row>
    <row r="24" customFormat="false" ht="27.75" hidden="false" customHeight="true" outlineLevel="0" collapsed="false">
      <c r="A24" s="2"/>
      <c r="B24" s="9" t="s">
        <v>810</v>
      </c>
      <c r="C24" s="17" t="s">
        <v>116</v>
      </c>
      <c r="D24" s="36" t="n">
        <v>5.07</v>
      </c>
      <c r="E24" s="36" t="n">
        <v>5.07</v>
      </c>
      <c r="F24" s="18" t="s">
        <v>114</v>
      </c>
      <c r="G24" s="8" t="n">
        <f aca="false">'Master of Price'!$G$22</f>
        <v>47500</v>
      </c>
      <c r="H24" s="8" t="n">
        <f aca="false">E24*G24</f>
        <v>240825</v>
      </c>
    </row>
    <row r="25" customFormat="false" ht="21.75" hidden="false" customHeight="true" outlineLevel="0" collapsed="false">
      <c r="A25" s="2"/>
      <c r="B25" s="9" t="s">
        <v>828</v>
      </c>
      <c r="C25" s="17" t="s">
        <v>118</v>
      </c>
      <c r="D25" s="36" t="n">
        <v>0.39</v>
      </c>
      <c r="E25" s="36" t="n">
        <v>0.39</v>
      </c>
      <c r="F25" s="18" t="s">
        <v>114</v>
      </c>
      <c r="G25" s="8" t="n">
        <f aca="false">'Master of Price'!$G$23</f>
        <v>90000</v>
      </c>
      <c r="H25" s="8" t="n">
        <f aca="false">E25*G25</f>
        <v>35100</v>
      </c>
    </row>
    <row r="26" customFormat="false" ht="21.75" hidden="false" customHeight="true" outlineLevel="0" collapsed="false">
      <c r="A26" s="2"/>
      <c r="B26" s="9" t="s">
        <v>829</v>
      </c>
      <c r="C26" s="17" t="s">
        <v>120</v>
      </c>
      <c r="D26" s="36" t="n">
        <v>0.08</v>
      </c>
      <c r="E26" s="36" t="n">
        <v>0.08</v>
      </c>
      <c r="F26" s="18" t="s">
        <v>114</v>
      </c>
      <c r="G26" s="8" t="n">
        <f aca="false">'Master of Price'!$G$24</f>
        <v>130000</v>
      </c>
      <c r="H26" s="8" t="n">
        <f aca="false">E26*G26</f>
        <v>10400</v>
      </c>
    </row>
    <row r="27" customFormat="false" ht="27.75" hidden="false" customHeight="true" outlineLevel="0" collapsed="false">
      <c r="A27" s="2"/>
      <c r="B27" s="9" t="s">
        <v>830</v>
      </c>
      <c r="C27" s="17" t="s">
        <v>122</v>
      </c>
      <c r="D27" s="36" t="n">
        <v>3.9</v>
      </c>
      <c r="E27" s="36" t="n">
        <v>3.9</v>
      </c>
      <c r="F27" s="18" t="s">
        <v>114</v>
      </c>
      <c r="G27" s="8" t="n">
        <f aca="false">'Master of Price'!$G$25</f>
        <v>700000</v>
      </c>
      <c r="H27" s="8" t="n">
        <f aca="false">E27*G27</f>
        <v>2730000</v>
      </c>
    </row>
    <row r="28" customFormat="false" ht="36" hidden="false" customHeight="true" outlineLevel="0" collapsed="false">
      <c r="A28" s="2"/>
      <c r="B28" s="9" t="s">
        <v>831</v>
      </c>
      <c r="C28" s="17" t="s">
        <v>124</v>
      </c>
      <c r="D28" s="36" t="n">
        <v>0.975</v>
      </c>
      <c r="E28" s="36" t="n">
        <v>0.975</v>
      </c>
      <c r="F28" s="18" t="s">
        <v>114</v>
      </c>
      <c r="G28" s="8" t="n">
        <f aca="false">'Master of Price'!$G$26</f>
        <v>1000000</v>
      </c>
      <c r="H28" s="8" t="n">
        <f aca="false">E28*G28</f>
        <v>975000</v>
      </c>
    </row>
    <row r="29" customFormat="false" ht="36" hidden="false" customHeight="true" outlineLevel="0" collapsed="false">
      <c r="A29" s="2"/>
      <c r="B29" s="9" t="s">
        <v>832</v>
      </c>
      <c r="C29" s="17" t="s">
        <v>113</v>
      </c>
      <c r="D29" s="36" t="n">
        <v>0.1</v>
      </c>
      <c r="E29" s="36" t="n">
        <v>0.1</v>
      </c>
      <c r="F29" s="18" t="s">
        <v>114</v>
      </c>
      <c r="G29" s="8" t="n">
        <f aca="false">'Master of Price'!$G$21</f>
        <v>1000000</v>
      </c>
      <c r="H29" s="8" t="n">
        <f aca="false">E29*G29</f>
        <v>100000</v>
      </c>
    </row>
    <row r="30" customFormat="false" ht="36" hidden="false" customHeight="true" outlineLevel="0" collapsed="false">
      <c r="A30" s="2"/>
      <c r="B30" s="9" t="s">
        <v>833</v>
      </c>
      <c r="C30" s="17" t="s">
        <v>128</v>
      </c>
      <c r="D30" s="36" t="n">
        <v>1</v>
      </c>
      <c r="E30" s="36" t="n">
        <v>1</v>
      </c>
      <c r="F30" s="18" t="s">
        <v>129</v>
      </c>
      <c r="G30" s="8" t="n">
        <f aca="false">'Master of Price'!$G$28</f>
        <v>4500000</v>
      </c>
      <c r="H30" s="8" t="n">
        <f aca="false">E30*G30</f>
        <v>4500000</v>
      </c>
    </row>
    <row r="31" customFormat="false" ht="25.5" hidden="false" customHeight="true" outlineLevel="0" collapsed="false">
      <c r="A31" s="2"/>
      <c r="B31" s="23" t="s">
        <v>811</v>
      </c>
      <c r="C31" s="23"/>
      <c r="D31" s="23"/>
      <c r="E31" s="23"/>
      <c r="F31" s="23"/>
      <c r="G31" s="23"/>
      <c r="H31" s="11" t="n">
        <f aca="false">SUM(H24:H30)</f>
        <v>8591325</v>
      </c>
    </row>
    <row r="32" customFormat="false" ht="21.75" hidden="false" customHeight="true" outlineLevel="0" collapsed="false">
      <c r="A32" s="2"/>
      <c r="B32" s="15" t="s">
        <v>834</v>
      </c>
      <c r="C32" s="15"/>
      <c r="D32" s="15"/>
      <c r="E32" s="15"/>
      <c r="F32" s="15"/>
      <c r="G32" s="15"/>
      <c r="H32" s="15"/>
    </row>
    <row r="33" customFormat="false" ht="27.75" hidden="false" customHeight="true" outlineLevel="0" collapsed="false">
      <c r="A33" s="2"/>
      <c r="B33" s="7" t="s">
        <v>16</v>
      </c>
      <c r="C33" s="7" t="s">
        <v>795</v>
      </c>
      <c r="D33" s="7" t="s">
        <v>796</v>
      </c>
      <c r="E33" s="7" t="s">
        <v>797</v>
      </c>
      <c r="F33" s="7" t="s">
        <v>89</v>
      </c>
      <c r="G33" s="7" t="s">
        <v>90</v>
      </c>
      <c r="H33" s="7" t="s">
        <v>798</v>
      </c>
    </row>
    <row r="34" customFormat="false" ht="21.75" hidden="false" customHeight="true" outlineLevel="0" collapsed="false">
      <c r="A34" s="2"/>
      <c r="B34" s="33" t="s">
        <v>813</v>
      </c>
      <c r="C34" s="34" t="s">
        <v>835</v>
      </c>
      <c r="D34" s="35"/>
      <c r="E34" s="35"/>
      <c r="F34" s="35"/>
      <c r="G34" s="35"/>
      <c r="H34" s="35"/>
    </row>
    <row r="35" customFormat="false" ht="36" hidden="false" customHeight="true" outlineLevel="0" collapsed="false">
      <c r="A35" s="2"/>
      <c r="B35" s="9" t="s">
        <v>815</v>
      </c>
      <c r="C35" s="17" t="s">
        <v>132</v>
      </c>
      <c r="D35" s="36" t="n">
        <v>1</v>
      </c>
      <c r="E35" s="36" t="n">
        <v>1</v>
      </c>
      <c r="F35" s="18" t="s">
        <v>133</v>
      </c>
      <c r="G35" s="8" t="n">
        <f aca="false">'Master of Price'!$G$29</f>
        <v>24000000</v>
      </c>
      <c r="H35" s="8" t="n">
        <f aca="false">E35*G35</f>
        <v>24000000</v>
      </c>
    </row>
    <row r="36" customFormat="false" ht="27.75" hidden="false" customHeight="true" outlineLevel="0" collapsed="false">
      <c r="A36" s="2"/>
      <c r="B36" s="9" t="s">
        <v>816</v>
      </c>
      <c r="C36" s="17" t="s">
        <v>135</v>
      </c>
      <c r="D36" s="36" t="n">
        <v>1</v>
      </c>
      <c r="E36" s="36" t="n">
        <v>1</v>
      </c>
      <c r="F36" s="18" t="s">
        <v>136</v>
      </c>
      <c r="G36" s="8" t="n">
        <f aca="false">'Master of Price'!$G$30</f>
        <v>1500000</v>
      </c>
      <c r="H36" s="8" t="n">
        <f aca="false">E36*G36</f>
        <v>1500000</v>
      </c>
    </row>
    <row r="37" customFormat="false" ht="36" hidden="false" customHeight="true" outlineLevel="0" collapsed="false">
      <c r="A37" s="2"/>
      <c r="B37" s="9" t="s">
        <v>836</v>
      </c>
      <c r="C37" s="17" t="s">
        <v>138</v>
      </c>
      <c r="D37" s="36" t="n">
        <v>5</v>
      </c>
      <c r="E37" s="36" t="n">
        <v>5</v>
      </c>
      <c r="F37" s="18" t="s">
        <v>133</v>
      </c>
      <c r="G37" s="8" t="n">
        <f aca="false">'Master of Price'!$G$31</f>
        <v>2100000</v>
      </c>
      <c r="H37" s="8" t="n">
        <f aca="false">E37*G37</f>
        <v>10500000</v>
      </c>
    </row>
    <row r="38" customFormat="false" ht="36" hidden="false" customHeight="true" outlineLevel="0" collapsed="false">
      <c r="A38" s="2"/>
      <c r="B38" s="9" t="s">
        <v>837</v>
      </c>
      <c r="C38" s="17" t="s">
        <v>140</v>
      </c>
      <c r="D38" s="36" t="n">
        <v>1</v>
      </c>
      <c r="E38" s="36" t="n">
        <v>1</v>
      </c>
      <c r="F38" s="18" t="s">
        <v>136</v>
      </c>
      <c r="G38" s="8" t="n">
        <f aca="false">'Master of Price'!$G$32</f>
        <v>2500000</v>
      </c>
      <c r="H38" s="8" t="n">
        <f aca="false">E38*G38</f>
        <v>2500000</v>
      </c>
    </row>
    <row r="39" customFormat="false" ht="25.5" hidden="false" customHeight="true" outlineLevel="0" collapsed="false">
      <c r="A39" s="2"/>
      <c r="B39" s="23" t="s">
        <v>838</v>
      </c>
      <c r="C39" s="23"/>
      <c r="D39" s="23"/>
      <c r="E39" s="23"/>
      <c r="F39" s="23"/>
      <c r="G39" s="23"/>
      <c r="H39" s="11" t="n">
        <f aca="false">SUM(H35:H38)</f>
        <v>38500000</v>
      </c>
    </row>
    <row r="40" customFormat="false" ht="21.75" hidden="false" customHeight="true" outlineLevel="0" collapsed="false">
      <c r="A40" s="2"/>
      <c r="B40" s="37" t="s">
        <v>818</v>
      </c>
      <c r="C40" s="37"/>
      <c r="D40" s="37"/>
      <c r="E40" s="37"/>
      <c r="F40" s="37"/>
      <c r="G40" s="37"/>
      <c r="H40" s="38" t="n">
        <f aca="false">H43-(H20+H31+H39)</f>
        <v>7294273</v>
      </c>
    </row>
    <row r="41" customFormat="false" ht="27.75" hidden="false" customHeight="true" outlineLevel="0" collapsed="false">
      <c r="A41" s="2"/>
      <c r="B41" s="10" t="s">
        <v>819</v>
      </c>
      <c r="C41" s="10"/>
      <c r="D41" s="10"/>
      <c r="E41" s="10"/>
      <c r="F41" s="10"/>
      <c r="G41" s="10"/>
      <c r="H41" s="39" t="n">
        <f aca="false">H20+H31+H39+H40</f>
        <v>74785598</v>
      </c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</row>
    <row r="43" customFormat="false" ht="21.75" hidden="false" customHeight="true" outlineLevel="0" collapsed="false">
      <c r="A43" s="2"/>
      <c r="B43" s="21" t="s">
        <v>820</v>
      </c>
      <c r="C43" s="21"/>
      <c r="D43" s="21"/>
      <c r="E43" s="21"/>
      <c r="F43" s="21"/>
      <c r="G43" s="21"/>
      <c r="H43" s="40" t="n">
        <f aca="false">RINGKASAN!$K$22</f>
        <v>74785598</v>
      </c>
    </row>
    <row r="44" customFormat="false" ht="21.75" hidden="false" customHeight="true" outlineLevel="0" collapsed="false">
      <c r="A44" s="2"/>
      <c r="B44" s="41" t="s">
        <v>821</v>
      </c>
      <c r="C44" s="41"/>
      <c r="D44" s="41"/>
      <c r="E44" s="41"/>
      <c r="F44" s="41"/>
      <c r="G44" s="41"/>
      <c r="H44" s="8" t="n">
        <f aca="false">H41-H43</f>
        <v>0</v>
      </c>
    </row>
    <row r="45" customFormat="false" ht="21.75" hidden="false" customHeight="true" outlineLevel="0" collapsed="false">
      <c r="A45" s="2"/>
      <c r="B45" s="42" t="s">
        <v>822</v>
      </c>
      <c r="C45" s="42"/>
      <c r="D45" s="42"/>
      <c r="E45" s="42"/>
      <c r="F45" s="42"/>
      <c r="G45" s="42"/>
      <c r="H45" s="37" t="str">
        <f aca="false">IF(H40&lt;0,"OVER BUDGET","OK")</f>
        <v>OK</v>
      </c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</row>
    <row r="61" customFormat="false" ht="15" hidden="false" customHeight="false" outlineLevel="0" collapsed="false">
      <c r="A61" s="2"/>
      <c r="B61" s="2"/>
      <c r="C61" s="2"/>
      <c r="D61" s="2"/>
      <c r="E61" s="2"/>
      <c r="F61" s="2"/>
      <c r="G61" s="2"/>
      <c r="H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  <c r="G62" s="2"/>
      <c r="H62" s="2"/>
    </row>
    <row r="63" customFormat="false" ht="15" hidden="false" customHeight="false" outlineLevel="0" collapsed="false">
      <c r="A63" s="2"/>
      <c r="B63" s="2"/>
      <c r="C63" s="2"/>
      <c r="D63" s="2"/>
      <c r="E63" s="2"/>
      <c r="F63" s="2"/>
      <c r="G63" s="2"/>
      <c r="H63" s="2"/>
    </row>
    <row r="64" customFormat="false" ht="15" hidden="false" customHeight="false" outlineLevel="0" collapsed="false">
      <c r="A64" s="2"/>
      <c r="B64" s="2"/>
      <c r="C64" s="2"/>
      <c r="D64" s="2"/>
      <c r="E64" s="2"/>
      <c r="F64" s="2"/>
      <c r="G64" s="2"/>
      <c r="H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</row>
    <row r="66" customFormat="false" ht="15" hidden="false" customHeight="false" outlineLevel="0" collapsed="false">
      <c r="A66" s="2"/>
      <c r="B66" s="2"/>
      <c r="C66" s="2"/>
      <c r="D66" s="2"/>
      <c r="E66" s="2"/>
      <c r="F66" s="2"/>
      <c r="G66" s="2"/>
      <c r="H66" s="2"/>
    </row>
    <row r="67" customFormat="false" ht="15" hidden="false" customHeight="false" outlineLevel="0" collapsed="false">
      <c r="A67" s="2"/>
      <c r="B67" s="2"/>
      <c r="C67" s="2"/>
      <c r="D67" s="2"/>
      <c r="E67" s="2"/>
      <c r="F67" s="2"/>
      <c r="G67" s="2"/>
      <c r="H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"/>
      <c r="H70" s="2"/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</row>
    <row r="250" customFormat="false" ht="15.7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</row>
    <row r="251" customFormat="false" ht="15.7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</row>
    <row r="252" customFormat="false" ht="15.7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</row>
    <row r="253" customFormat="false" ht="15.7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</row>
    <row r="254" customFormat="false" ht="15.7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</row>
    <row r="255" customFormat="false" ht="15.7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</row>
    <row r="256" customFormat="false" ht="15.7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</row>
    <row r="257" customFormat="false" ht="15.7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</row>
    <row r="258" customFormat="false" ht="15.7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</row>
    <row r="259" customFormat="false" ht="15.7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</row>
    <row r="260" customFormat="false" ht="15.7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</row>
    <row r="261" customFormat="false" ht="15.7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</row>
    <row r="262" customFormat="false" ht="15.7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</row>
    <row r="263" customFormat="false" ht="15.7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</row>
    <row r="264" customFormat="false" ht="15.7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</row>
    <row r="265" customFormat="false" ht="15.7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</row>
    <row r="266" customFormat="false" ht="15.7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</row>
    <row r="267" customFormat="false" ht="15.7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</row>
    <row r="268" customFormat="false" ht="15.7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</row>
    <row r="269" customFormat="false" ht="15.7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</row>
    <row r="270" customFormat="false" ht="15.7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</row>
    <row r="271" customFormat="false" ht="15.7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</row>
    <row r="272" customFormat="false" ht="15.7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</row>
    <row r="273" customFormat="false" ht="15.7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</row>
    <row r="274" customFormat="false" ht="15.7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</row>
    <row r="275" customFormat="false" ht="15.7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</row>
    <row r="276" customFormat="false" ht="15.7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</row>
    <row r="277" customFormat="false" ht="15.7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</row>
    <row r="278" customFormat="false" ht="15.7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</row>
    <row r="279" customFormat="false" ht="15.7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</row>
    <row r="280" customFormat="false" ht="15.7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</row>
    <row r="281" customFormat="false" ht="15.7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</row>
    <row r="282" customFormat="false" ht="15.7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</row>
    <row r="283" customFormat="false" ht="15.7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</row>
    <row r="284" customFormat="false" ht="15.7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</row>
    <row r="285" customFormat="false" ht="15.7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</row>
    <row r="286" customFormat="false" ht="15.7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</row>
    <row r="287" customFormat="false" ht="15.7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</row>
    <row r="288" customFormat="false" ht="15.7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</row>
    <row r="289" customFormat="false" ht="15.7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</row>
    <row r="290" customFormat="false" ht="15.7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</row>
    <row r="291" customFormat="false" ht="15.7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</row>
    <row r="292" customFormat="false" ht="15.7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</row>
    <row r="293" customFormat="false" ht="15.7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</row>
    <row r="294" customFormat="false" ht="15.7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</row>
    <row r="295" customFormat="false" ht="15.7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</row>
    <row r="296" customFormat="false" ht="15.7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</row>
    <row r="297" customFormat="false" ht="15.7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</row>
    <row r="298" customFormat="false" ht="15.7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</row>
    <row r="299" customFormat="false" ht="15.7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</row>
    <row r="300" customFormat="false" ht="15.7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</row>
    <row r="301" customFormat="false" ht="15.7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</row>
    <row r="302" customFormat="false" ht="15.7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</row>
    <row r="303" customFormat="false" ht="15.7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</row>
    <row r="304" customFormat="false" ht="15.7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</row>
    <row r="305" customFormat="false" ht="15.7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</row>
    <row r="306" customFormat="false" ht="15.7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</row>
    <row r="307" customFormat="false" ht="15.7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</row>
    <row r="308" customFormat="false" ht="15.7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</row>
    <row r="309" customFormat="false" ht="15.7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</row>
    <row r="310" customFormat="false" ht="15.7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</row>
    <row r="311" customFormat="false" ht="15.7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</row>
    <row r="312" customFormat="false" ht="15.7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</row>
    <row r="313" customFormat="false" ht="15.7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</row>
    <row r="314" customFormat="false" ht="15.7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</row>
    <row r="315" customFormat="false" ht="15.7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</row>
    <row r="316" customFormat="false" ht="15.7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</row>
    <row r="317" customFormat="false" ht="15.7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</row>
    <row r="318" customFormat="false" ht="15.7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</row>
    <row r="319" customFormat="false" ht="15.7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</row>
    <row r="320" customFormat="false" ht="15.7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</row>
    <row r="321" customFormat="false" ht="15.7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</row>
    <row r="322" customFormat="false" ht="15.7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</row>
    <row r="323" customFormat="false" ht="15.7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</row>
    <row r="324" customFormat="false" ht="15.7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</row>
    <row r="325" customFormat="false" ht="15.7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</row>
    <row r="326" customFormat="false" ht="15.7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</row>
    <row r="327" customFormat="false" ht="15.7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</row>
    <row r="328" customFormat="false" ht="15.7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</row>
    <row r="329" customFormat="false" ht="15.7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</row>
    <row r="330" customFormat="false" ht="15.7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</row>
    <row r="331" customFormat="false" ht="15.7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</row>
    <row r="332" customFormat="false" ht="15.7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</row>
    <row r="333" customFormat="false" ht="15.7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</row>
    <row r="334" customFormat="false" ht="15.7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</row>
    <row r="335" customFormat="false" ht="15.7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</row>
    <row r="336" customFormat="false" ht="15.7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</row>
    <row r="337" customFormat="false" ht="15.7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</row>
    <row r="338" customFormat="false" ht="15.7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</row>
    <row r="339" customFormat="false" ht="15.7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</row>
    <row r="340" customFormat="false" ht="15.7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</row>
    <row r="341" customFormat="false" ht="15.7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</row>
    <row r="342" customFormat="false" ht="15.7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</row>
    <row r="343" customFormat="false" ht="15.7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</row>
    <row r="344" customFormat="false" ht="15.7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</row>
    <row r="345" customFormat="false" ht="15.7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</row>
    <row r="346" customFormat="false" ht="15.7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</row>
    <row r="347" customFormat="false" ht="15.7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</row>
    <row r="348" customFormat="false" ht="15.7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</row>
    <row r="349" customFormat="false" ht="15.7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</row>
    <row r="350" customFormat="false" ht="15.7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</row>
    <row r="351" customFormat="false" ht="15.7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</row>
    <row r="352" customFormat="false" ht="15.7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</row>
    <row r="353" customFormat="false" ht="15.7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</row>
    <row r="354" customFormat="false" ht="15.7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</row>
    <row r="355" customFormat="false" ht="15.7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</row>
    <row r="356" customFormat="false" ht="15.7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</row>
    <row r="357" customFormat="false" ht="15.7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</row>
    <row r="358" customFormat="false" ht="15.7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</row>
    <row r="359" customFormat="false" ht="15.7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</row>
    <row r="360" customFormat="false" ht="15.7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</row>
    <row r="361" customFormat="false" ht="15.7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</row>
    <row r="362" customFormat="false" ht="15.7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</row>
    <row r="363" customFormat="false" ht="15.7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</row>
    <row r="364" customFormat="false" ht="15.7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</row>
    <row r="365" customFormat="false" ht="15.7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</row>
    <row r="366" customFormat="false" ht="15.7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</row>
    <row r="367" customFormat="false" ht="15.7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</row>
    <row r="368" customFormat="false" ht="15.7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</row>
    <row r="369" customFormat="false" ht="15.7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</row>
    <row r="370" customFormat="false" ht="15.7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</row>
    <row r="371" customFormat="false" ht="15.7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</row>
    <row r="372" customFormat="false" ht="15.7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</row>
    <row r="373" customFormat="false" ht="15.7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</row>
    <row r="374" customFormat="false" ht="15.7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</row>
    <row r="375" customFormat="false" ht="15.7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</row>
    <row r="376" customFormat="false" ht="15.7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</row>
    <row r="377" customFormat="false" ht="15.7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</row>
    <row r="378" customFormat="false" ht="15.7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</row>
    <row r="379" customFormat="false" ht="15.7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</row>
    <row r="380" customFormat="false" ht="15.7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</row>
    <row r="381" customFormat="false" ht="15.7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</row>
    <row r="382" customFormat="false" ht="15.7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</row>
    <row r="383" customFormat="false" ht="15.7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</row>
    <row r="384" customFormat="false" ht="15.7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</row>
    <row r="385" customFormat="false" ht="15.7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</row>
    <row r="386" customFormat="false" ht="15.7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</row>
    <row r="387" customFormat="false" ht="15.7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</row>
    <row r="388" customFormat="false" ht="15.7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</row>
    <row r="389" customFormat="false" ht="15.7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</row>
    <row r="390" customFormat="false" ht="15.7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</row>
    <row r="391" customFormat="false" ht="15.7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</row>
    <row r="392" customFormat="false" ht="15.7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</row>
    <row r="393" customFormat="false" ht="15.7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</row>
    <row r="394" customFormat="false" ht="15.7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</row>
    <row r="395" customFormat="false" ht="15.7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</row>
    <row r="396" customFormat="false" ht="15.7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</row>
    <row r="397" customFormat="false" ht="15.7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</row>
    <row r="398" customFormat="false" ht="15.7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</row>
    <row r="399" customFormat="false" ht="15.7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</row>
    <row r="400" customFormat="false" ht="15.7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</row>
    <row r="401" customFormat="false" ht="15.7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</row>
    <row r="402" customFormat="false" ht="15.7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</row>
    <row r="403" customFormat="false" ht="15.7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</row>
    <row r="404" customFormat="false" ht="15.7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</row>
    <row r="405" customFormat="false" ht="15.7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</row>
    <row r="406" customFormat="false" ht="15.7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</row>
    <row r="407" customFormat="false" ht="15.7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</row>
    <row r="408" customFormat="false" ht="15.7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</row>
    <row r="409" customFormat="false" ht="15.7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</row>
    <row r="410" customFormat="false" ht="15.7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</row>
    <row r="411" customFormat="false" ht="15.7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</row>
    <row r="412" customFormat="false" ht="15.7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</row>
    <row r="413" customFormat="false" ht="15.7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</row>
    <row r="414" customFormat="false" ht="15.7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</row>
    <row r="415" customFormat="false" ht="15.7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</row>
    <row r="416" customFormat="false" ht="15.7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</row>
    <row r="417" customFormat="false" ht="15.7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</row>
    <row r="418" customFormat="false" ht="15.7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</row>
    <row r="419" customFormat="false" ht="15.7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</row>
    <row r="420" customFormat="false" ht="15.7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</row>
    <row r="421" customFormat="false" ht="15.7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</row>
    <row r="422" customFormat="false" ht="15.7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</row>
    <row r="423" customFormat="false" ht="15.7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</row>
    <row r="424" customFormat="false" ht="15.7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</row>
    <row r="425" customFormat="false" ht="15.7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</row>
    <row r="426" customFormat="false" ht="15.7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</row>
    <row r="427" customFormat="false" ht="15.7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</row>
    <row r="428" customFormat="false" ht="15.7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</row>
    <row r="429" customFormat="false" ht="15.7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</row>
    <row r="430" customFormat="false" ht="15.7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</row>
    <row r="431" customFormat="false" ht="15.7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</row>
    <row r="432" customFormat="false" ht="15.7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</row>
    <row r="433" customFormat="false" ht="15.7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</row>
    <row r="434" customFormat="false" ht="15.7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</row>
    <row r="435" customFormat="false" ht="15.7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</row>
    <row r="436" customFormat="false" ht="15.7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</row>
    <row r="437" customFormat="false" ht="15.7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</row>
    <row r="438" customFormat="false" ht="15.7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</row>
    <row r="439" customFormat="false" ht="15.7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</row>
    <row r="440" customFormat="false" ht="15.7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</row>
    <row r="441" customFormat="false" ht="15.7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</row>
    <row r="442" customFormat="false" ht="15.7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</row>
    <row r="443" customFormat="false" ht="15.7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</row>
    <row r="444" customFormat="false" ht="15.7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</row>
    <row r="445" customFormat="false" ht="15.7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</row>
    <row r="446" customFormat="false" ht="15.7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</row>
    <row r="447" customFormat="false" ht="15.7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</row>
    <row r="448" customFormat="false" ht="15.7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</row>
    <row r="449" customFormat="false" ht="15.7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</row>
    <row r="450" customFormat="false" ht="15.7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</row>
    <row r="451" customFormat="false" ht="15.7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</row>
    <row r="452" customFormat="false" ht="15.7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</row>
    <row r="453" customFormat="false" ht="15.7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</row>
    <row r="454" customFormat="false" ht="15.7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</row>
    <row r="455" customFormat="false" ht="15.7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</row>
    <row r="456" customFormat="false" ht="15.7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</row>
    <row r="457" customFormat="false" ht="15.7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</row>
    <row r="458" customFormat="false" ht="15.7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</row>
    <row r="459" customFormat="false" ht="15.7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</row>
    <row r="460" customFormat="false" ht="15.7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</row>
    <row r="461" customFormat="false" ht="15.7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</row>
    <row r="462" customFormat="false" ht="15.7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</row>
    <row r="463" customFormat="false" ht="15.7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</row>
    <row r="464" customFormat="false" ht="15.7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</row>
    <row r="465" customFormat="false" ht="15.7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</row>
    <row r="466" customFormat="false" ht="15.7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</row>
    <row r="467" customFormat="false" ht="15.7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</row>
    <row r="468" customFormat="false" ht="15.7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</row>
    <row r="469" customFormat="false" ht="15.7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</row>
    <row r="470" customFormat="false" ht="15.7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</row>
    <row r="471" customFormat="false" ht="15.7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</row>
    <row r="472" customFormat="false" ht="15.7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</row>
    <row r="473" customFormat="false" ht="15.7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</row>
    <row r="474" customFormat="false" ht="15.7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</row>
    <row r="475" customFormat="false" ht="15.7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</row>
    <row r="476" customFormat="false" ht="15.7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</row>
    <row r="477" customFormat="false" ht="15.7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</row>
    <row r="478" customFormat="false" ht="15.7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</row>
    <row r="479" customFormat="false" ht="15.7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</row>
    <row r="480" customFormat="false" ht="15.7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</row>
    <row r="481" customFormat="false" ht="15.7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</row>
    <row r="482" customFormat="false" ht="15.7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</row>
    <row r="483" customFormat="false" ht="15.7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</row>
    <row r="484" customFormat="false" ht="15.7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</row>
    <row r="485" customFormat="false" ht="15.7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</row>
    <row r="486" customFormat="false" ht="15.7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</row>
    <row r="487" customFormat="false" ht="15.7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</row>
    <row r="488" customFormat="false" ht="15.7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</row>
    <row r="489" customFormat="false" ht="15.7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</row>
    <row r="490" customFormat="false" ht="15.7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</row>
    <row r="491" customFormat="false" ht="15.7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</row>
    <row r="492" customFormat="false" ht="15.7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</row>
    <row r="493" customFormat="false" ht="15.7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</row>
    <row r="494" customFormat="false" ht="15.7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</row>
    <row r="495" customFormat="false" ht="15.7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</row>
    <row r="496" customFormat="false" ht="15.7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</row>
    <row r="497" customFormat="false" ht="15.7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</row>
    <row r="498" customFormat="false" ht="15.7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</row>
    <row r="499" customFormat="false" ht="15.7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</row>
    <row r="500" customFormat="false" ht="15.7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</row>
    <row r="501" customFormat="false" ht="15.7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</row>
    <row r="502" customFormat="false" ht="15.7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</row>
    <row r="503" customFormat="false" ht="15.7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</row>
    <row r="504" customFormat="false" ht="15.7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</row>
    <row r="505" customFormat="false" ht="15.7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</row>
    <row r="506" customFormat="false" ht="15.7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</row>
    <row r="507" customFormat="false" ht="15.7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</row>
    <row r="508" customFormat="false" ht="15.7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</row>
    <row r="509" customFormat="false" ht="15.7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</row>
    <row r="510" customFormat="false" ht="15.7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</row>
    <row r="511" customFormat="false" ht="15.7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</row>
    <row r="512" customFormat="false" ht="15.7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</row>
    <row r="513" customFormat="false" ht="15.7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</row>
    <row r="514" customFormat="false" ht="15.7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</row>
    <row r="515" customFormat="false" ht="15.7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</row>
    <row r="516" customFormat="false" ht="15.7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</row>
    <row r="517" customFormat="false" ht="15.7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</row>
    <row r="518" customFormat="false" ht="15.7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</row>
    <row r="519" customFormat="false" ht="15.7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</row>
    <row r="520" customFormat="false" ht="15.7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</row>
    <row r="521" customFormat="false" ht="15.7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</row>
    <row r="522" customFormat="false" ht="15.7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</row>
    <row r="523" customFormat="false" ht="15.7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</row>
    <row r="524" customFormat="false" ht="15.7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</row>
    <row r="525" customFormat="false" ht="15.7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</row>
    <row r="526" customFormat="false" ht="15.7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</row>
    <row r="527" customFormat="false" ht="15.7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</row>
    <row r="528" customFormat="false" ht="15.7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</row>
    <row r="529" customFormat="false" ht="15.7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</row>
    <row r="530" customFormat="false" ht="15.7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</row>
    <row r="531" customFormat="false" ht="15.7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</row>
    <row r="532" customFormat="false" ht="15.7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</row>
    <row r="533" customFormat="false" ht="15.7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</row>
    <row r="534" customFormat="false" ht="15.7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</row>
    <row r="535" customFormat="false" ht="15.7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</row>
    <row r="536" customFormat="false" ht="15.7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</row>
    <row r="537" customFormat="false" ht="15.7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</row>
    <row r="538" customFormat="false" ht="15.7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</row>
    <row r="539" customFormat="false" ht="15.7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</row>
    <row r="540" customFormat="false" ht="15.7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</row>
    <row r="541" customFormat="false" ht="15.7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</row>
    <row r="542" customFormat="false" ht="15.7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</row>
    <row r="543" customFormat="false" ht="15.7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</row>
    <row r="544" customFormat="false" ht="15.7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</row>
    <row r="545" customFormat="false" ht="15.7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</row>
    <row r="546" customFormat="false" ht="15.7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</row>
    <row r="547" customFormat="false" ht="15.7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</row>
    <row r="548" customFormat="false" ht="15.7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</row>
    <row r="549" customFormat="false" ht="15.7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</row>
    <row r="550" customFormat="false" ht="15.7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</row>
    <row r="551" customFormat="false" ht="15.7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</row>
    <row r="552" customFormat="false" ht="15.7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</row>
    <row r="553" customFormat="false" ht="15.7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</row>
    <row r="554" customFormat="false" ht="15.7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</row>
    <row r="555" customFormat="false" ht="15.7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</row>
    <row r="556" customFormat="false" ht="15.7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</row>
    <row r="557" customFormat="false" ht="15.7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</row>
    <row r="558" customFormat="false" ht="15.7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</row>
    <row r="559" customFormat="false" ht="15.7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</row>
    <row r="560" customFormat="false" ht="15.7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</row>
    <row r="561" customFormat="false" ht="15.7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</row>
    <row r="562" customFormat="false" ht="15.7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</row>
    <row r="563" customFormat="false" ht="15.7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</row>
    <row r="564" customFormat="false" ht="15.7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</row>
    <row r="565" customFormat="false" ht="15.7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</row>
    <row r="566" customFormat="false" ht="15.7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</row>
    <row r="567" customFormat="false" ht="15.7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</row>
    <row r="568" customFormat="false" ht="15.7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</row>
    <row r="569" customFormat="false" ht="15.7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</row>
    <row r="570" customFormat="false" ht="15.7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</row>
    <row r="571" customFormat="false" ht="15.7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</row>
    <row r="572" customFormat="false" ht="15.7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</row>
    <row r="573" customFormat="false" ht="15.7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</row>
    <row r="574" customFormat="false" ht="15.7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</row>
    <row r="575" customFormat="false" ht="15.7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</row>
    <row r="576" customFormat="false" ht="15.7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</row>
    <row r="577" customFormat="false" ht="15.7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</row>
    <row r="578" customFormat="false" ht="15.7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</row>
    <row r="579" customFormat="false" ht="15.7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</row>
    <row r="580" customFormat="false" ht="15.7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</row>
    <row r="581" customFormat="false" ht="15.7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</row>
    <row r="582" customFormat="false" ht="15.7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</row>
    <row r="583" customFormat="false" ht="15.7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</row>
    <row r="584" customFormat="false" ht="15.7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</row>
    <row r="585" customFormat="false" ht="15.7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</row>
    <row r="586" customFormat="false" ht="15.7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</row>
    <row r="587" customFormat="false" ht="15.7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</row>
    <row r="588" customFormat="false" ht="15.7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</row>
    <row r="589" customFormat="false" ht="15.7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</row>
    <row r="590" customFormat="false" ht="15.7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</row>
    <row r="591" customFormat="false" ht="15.7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</row>
    <row r="592" customFormat="false" ht="15.7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</row>
    <row r="593" customFormat="false" ht="15.7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</row>
    <row r="594" customFormat="false" ht="15.7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</row>
    <row r="595" customFormat="false" ht="15.7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</row>
    <row r="596" customFormat="false" ht="15.7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</row>
    <row r="597" customFormat="false" ht="15.7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</row>
    <row r="598" customFormat="false" ht="15.7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</row>
    <row r="599" customFormat="false" ht="15.7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</row>
    <row r="600" customFormat="false" ht="15.7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</row>
    <row r="601" customFormat="false" ht="15.7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</row>
    <row r="602" customFormat="false" ht="15.7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</row>
    <row r="603" customFormat="false" ht="15.7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</row>
    <row r="604" customFormat="false" ht="15.7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</row>
    <row r="605" customFormat="false" ht="15.7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</row>
    <row r="606" customFormat="false" ht="15.7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</row>
    <row r="607" customFormat="false" ht="15.7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</row>
    <row r="608" customFormat="false" ht="15.7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</row>
    <row r="609" customFormat="false" ht="15.7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</row>
    <row r="610" customFormat="false" ht="15.7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</row>
    <row r="611" customFormat="false" ht="15.7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</row>
    <row r="612" customFormat="false" ht="15.7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</row>
    <row r="613" customFormat="false" ht="15.7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</row>
    <row r="614" customFormat="false" ht="15.7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</row>
    <row r="615" customFormat="false" ht="15.7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</row>
    <row r="616" customFormat="false" ht="15.7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</row>
    <row r="617" customFormat="false" ht="15.7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</row>
    <row r="618" customFormat="false" ht="15.7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</row>
    <row r="619" customFormat="false" ht="15.7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</row>
    <row r="620" customFormat="false" ht="15.7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</row>
    <row r="621" customFormat="false" ht="15.7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</row>
    <row r="622" customFormat="false" ht="15.7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</row>
    <row r="623" customFormat="false" ht="15.7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</row>
    <row r="624" customFormat="false" ht="15.7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</row>
    <row r="625" customFormat="false" ht="15.7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</row>
    <row r="626" customFormat="false" ht="15.7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</row>
    <row r="627" customFormat="false" ht="15.7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</row>
    <row r="628" customFormat="false" ht="15.7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</row>
    <row r="629" customFormat="false" ht="15.7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</row>
    <row r="630" customFormat="false" ht="15.7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</row>
    <row r="631" customFormat="false" ht="15.7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</row>
    <row r="632" customFormat="false" ht="15.7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</row>
    <row r="633" customFormat="false" ht="15.7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</row>
    <row r="634" customFormat="false" ht="15.7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</row>
    <row r="635" customFormat="false" ht="15.7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</row>
    <row r="636" customFormat="false" ht="15.7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</row>
    <row r="637" customFormat="false" ht="15.7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</row>
    <row r="638" customFormat="false" ht="15.7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</row>
    <row r="639" customFormat="false" ht="15.7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</row>
    <row r="640" customFormat="false" ht="15.7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</row>
    <row r="641" customFormat="false" ht="15.7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</row>
    <row r="642" customFormat="false" ht="15.7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</row>
    <row r="643" customFormat="false" ht="15.7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</row>
    <row r="644" customFormat="false" ht="15.7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</row>
    <row r="645" customFormat="false" ht="15.7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</row>
    <row r="646" customFormat="false" ht="15.7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</row>
    <row r="647" customFormat="false" ht="15.7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</row>
    <row r="648" customFormat="false" ht="15.7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</row>
    <row r="649" customFormat="false" ht="15.7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</row>
    <row r="650" customFormat="false" ht="15.7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</row>
    <row r="651" customFormat="false" ht="15.7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</row>
    <row r="652" customFormat="false" ht="15.7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</row>
    <row r="653" customFormat="false" ht="15.7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</row>
    <row r="654" customFormat="false" ht="15.7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</row>
    <row r="655" customFormat="false" ht="15.7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</row>
    <row r="656" customFormat="false" ht="15.7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</row>
    <row r="657" customFormat="false" ht="15.7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</row>
    <row r="658" customFormat="false" ht="15.7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</row>
    <row r="659" customFormat="false" ht="15.7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</row>
    <row r="660" customFormat="false" ht="15.7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</row>
    <row r="661" customFormat="false" ht="15.7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</row>
    <row r="662" customFormat="false" ht="15.7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</row>
    <row r="663" customFormat="false" ht="15.7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</row>
    <row r="664" customFormat="false" ht="15.7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</row>
    <row r="665" customFormat="false" ht="15.7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</row>
    <row r="666" customFormat="false" ht="15.7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</row>
    <row r="667" customFormat="false" ht="15.7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</row>
    <row r="668" customFormat="false" ht="15.7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</row>
    <row r="669" customFormat="false" ht="15.7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</row>
    <row r="670" customFormat="false" ht="15.7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</row>
    <row r="671" customFormat="false" ht="15.7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</row>
    <row r="672" customFormat="false" ht="15.7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</row>
    <row r="673" customFormat="false" ht="15.7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</row>
    <row r="674" customFormat="false" ht="15.7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</row>
    <row r="675" customFormat="false" ht="15.7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</row>
    <row r="676" customFormat="false" ht="15.7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</row>
    <row r="677" customFormat="false" ht="15.7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</row>
    <row r="678" customFormat="false" ht="15.7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</row>
    <row r="679" customFormat="false" ht="15.7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</row>
    <row r="680" customFormat="false" ht="15.7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</row>
    <row r="681" customFormat="false" ht="15.7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</row>
    <row r="682" customFormat="false" ht="15.7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</row>
    <row r="683" customFormat="false" ht="15.7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</row>
    <row r="684" customFormat="false" ht="15.7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</row>
    <row r="685" customFormat="false" ht="15.7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</row>
    <row r="686" customFormat="false" ht="15.7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</row>
    <row r="687" customFormat="false" ht="15.7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</row>
    <row r="688" customFormat="false" ht="15.7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</row>
    <row r="689" customFormat="false" ht="15.7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</row>
    <row r="690" customFormat="false" ht="15.7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</row>
    <row r="691" customFormat="false" ht="15.7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</row>
    <row r="692" customFormat="false" ht="15.7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</row>
    <row r="693" customFormat="false" ht="15.7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</row>
    <row r="694" customFormat="false" ht="15.7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</row>
    <row r="695" customFormat="false" ht="15.7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</row>
    <row r="696" customFormat="false" ht="15.7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</row>
    <row r="697" customFormat="false" ht="15.7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</row>
    <row r="698" customFormat="false" ht="15.7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</row>
    <row r="699" customFormat="false" ht="15.7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</row>
    <row r="700" customFormat="false" ht="15.7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</row>
    <row r="701" customFormat="false" ht="15.7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</row>
    <row r="702" customFormat="false" ht="15.7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</row>
    <row r="703" customFormat="false" ht="15.7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</row>
    <row r="704" customFormat="false" ht="15.7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</row>
    <row r="705" customFormat="false" ht="15.7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</row>
    <row r="706" customFormat="false" ht="15.7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</row>
    <row r="707" customFormat="false" ht="15.7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</row>
    <row r="708" customFormat="false" ht="15.7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</row>
    <row r="709" customFormat="false" ht="15.7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</row>
    <row r="710" customFormat="false" ht="15.7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</row>
    <row r="711" customFormat="false" ht="15.7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</row>
    <row r="712" customFormat="false" ht="15.7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</row>
    <row r="713" customFormat="false" ht="15.7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</row>
    <row r="714" customFormat="false" ht="15.7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</row>
    <row r="715" customFormat="false" ht="15.7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</row>
    <row r="716" customFormat="false" ht="15.7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</row>
    <row r="717" customFormat="false" ht="15.7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</row>
    <row r="718" customFormat="false" ht="15.7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</row>
    <row r="719" customFormat="false" ht="15.7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</row>
    <row r="720" customFormat="false" ht="15.7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</row>
    <row r="721" customFormat="false" ht="15.7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</row>
    <row r="722" customFormat="false" ht="15.7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</row>
    <row r="723" customFormat="false" ht="15.7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</row>
    <row r="724" customFormat="false" ht="15.7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</row>
    <row r="725" customFormat="false" ht="15.7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</row>
    <row r="726" customFormat="false" ht="15.7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</row>
    <row r="727" customFormat="false" ht="15.7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</row>
    <row r="728" customFormat="false" ht="15.7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</row>
    <row r="729" customFormat="false" ht="15.7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</row>
    <row r="730" customFormat="false" ht="15.7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</row>
    <row r="731" customFormat="false" ht="15.7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</row>
    <row r="732" customFormat="false" ht="15.7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</row>
    <row r="733" customFormat="false" ht="15.7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</row>
    <row r="734" customFormat="false" ht="15.7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</row>
    <row r="735" customFormat="false" ht="15.7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</row>
    <row r="736" customFormat="false" ht="15.7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</row>
    <row r="737" customFormat="false" ht="15.7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</row>
    <row r="738" customFormat="false" ht="15.7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</row>
    <row r="739" customFormat="false" ht="15.7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</row>
    <row r="740" customFormat="false" ht="15.7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</row>
    <row r="741" customFormat="false" ht="15.7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</row>
    <row r="742" customFormat="false" ht="15.7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</row>
    <row r="743" customFormat="false" ht="15.7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</row>
    <row r="744" customFormat="false" ht="15.7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</row>
    <row r="745" customFormat="false" ht="15.7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</row>
    <row r="746" customFormat="false" ht="15.7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</row>
    <row r="747" customFormat="false" ht="15.7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</row>
    <row r="748" customFormat="false" ht="15.7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</row>
    <row r="749" customFormat="false" ht="15.7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</row>
    <row r="750" customFormat="false" ht="15.7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</row>
    <row r="751" customFormat="false" ht="15.7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</row>
    <row r="752" customFormat="false" ht="15.7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</row>
    <row r="753" customFormat="false" ht="15.7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</row>
    <row r="754" customFormat="false" ht="15.7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</row>
    <row r="755" customFormat="false" ht="15.7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</row>
    <row r="756" customFormat="false" ht="15.7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</row>
    <row r="757" customFormat="false" ht="15.7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</row>
    <row r="758" customFormat="false" ht="15.7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</row>
    <row r="759" customFormat="false" ht="15.7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</row>
    <row r="760" customFormat="false" ht="15.7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</row>
    <row r="761" customFormat="false" ht="15.7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</row>
    <row r="762" customFormat="false" ht="15.7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</row>
    <row r="763" customFormat="false" ht="15.7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</row>
    <row r="764" customFormat="false" ht="15.7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</row>
    <row r="765" customFormat="false" ht="15.7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</row>
    <row r="766" customFormat="false" ht="15.7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</row>
    <row r="767" customFormat="false" ht="15.7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</row>
    <row r="768" customFormat="false" ht="15.7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</row>
    <row r="769" customFormat="false" ht="15.7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</row>
    <row r="770" customFormat="false" ht="15.7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</row>
    <row r="771" customFormat="false" ht="15.7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</row>
    <row r="772" customFormat="false" ht="15.7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</row>
    <row r="773" customFormat="false" ht="15.7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</row>
    <row r="774" customFormat="false" ht="15.7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</row>
    <row r="775" customFormat="false" ht="15.7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</row>
    <row r="776" customFormat="false" ht="15.7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</row>
    <row r="777" customFormat="false" ht="15.7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</row>
    <row r="778" customFormat="false" ht="15.7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</row>
    <row r="779" customFormat="false" ht="15.7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</row>
    <row r="780" customFormat="false" ht="15.7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</row>
    <row r="781" customFormat="false" ht="15.7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</row>
    <row r="782" customFormat="false" ht="15.7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</row>
    <row r="783" customFormat="false" ht="15.7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</row>
    <row r="784" customFormat="false" ht="15.7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</row>
    <row r="785" customFormat="false" ht="15.7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</row>
    <row r="786" customFormat="false" ht="15.7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</row>
    <row r="787" customFormat="false" ht="15.7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</row>
    <row r="788" customFormat="false" ht="15.7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</row>
    <row r="789" customFormat="false" ht="15.7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</row>
    <row r="790" customFormat="false" ht="15.7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</row>
    <row r="791" customFormat="false" ht="15.7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</row>
    <row r="792" customFormat="false" ht="15.7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</row>
    <row r="793" customFormat="false" ht="15.7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</row>
    <row r="794" customFormat="false" ht="15.7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</row>
    <row r="795" customFormat="false" ht="15.7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</row>
    <row r="796" customFormat="false" ht="15.7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</row>
    <row r="797" customFormat="false" ht="15.7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</row>
    <row r="798" customFormat="false" ht="15.7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</row>
    <row r="799" customFormat="false" ht="15.7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</row>
    <row r="800" customFormat="false" ht="15.7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</row>
    <row r="801" customFormat="false" ht="15.7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</row>
    <row r="802" customFormat="false" ht="15.7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</row>
    <row r="803" customFormat="false" ht="15.7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</row>
    <row r="804" customFormat="false" ht="15.7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</row>
    <row r="805" customFormat="false" ht="15.7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</row>
    <row r="806" customFormat="false" ht="15.7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</row>
    <row r="807" customFormat="false" ht="15.7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</row>
    <row r="808" customFormat="false" ht="15.7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</row>
    <row r="809" customFormat="false" ht="15.7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</row>
    <row r="810" customFormat="false" ht="15.7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</row>
    <row r="811" customFormat="false" ht="15.7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</row>
    <row r="812" customFormat="false" ht="15.7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</row>
    <row r="813" customFormat="false" ht="15.7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</row>
    <row r="814" customFormat="false" ht="15.7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</row>
    <row r="815" customFormat="false" ht="15.7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</row>
    <row r="816" customFormat="false" ht="15.7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</row>
    <row r="817" customFormat="false" ht="15.7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</row>
    <row r="818" customFormat="false" ht="15.7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</row>
    <row r="819" customFormat="false" ht="15.7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</row>
    <row r="820" customFormat="false" ht="15.7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</row>
    <row r="821" customFormat="false" ht="15.7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</row>
    <row r="822" customFormat="false" ht="15.7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</row>
    <row r="823" customFormat="false" ht="15.7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</row>
    <row r="824" customFormat="false" ht="15.7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</row>
    <row r="825" customFormat="false" ht="15.7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</row>
    <row r="826" customFormat="false" ht="15.7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</row>
    <row r="827" customFormat="false" ht="15.7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</row>
    <row r="828" customFormat="false" ht="15.7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</row>
    <row r="829" customFormat="false" ht="15.7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</row>
    <row r="830" customFormat="false" ht="15.7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</row>
    <row r="831" customFormat="false" ht="15.7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</row>
    <row r="832" customFormat="false" ht="15.7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</row>
    <row r="833" customFormat="false" ht="15.7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</row>
    <row r="834" customFormat="false" ht="15.7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</row>
    <row r="835" customFormat="false" ht="15.7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</row>
    <row r="836" customFormat="false" ht="15.7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</row>
    <row r="837" customFormat="false" ht="15.7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</row>
    <row r="838" customFormat="false" ht="15.7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</row>
    <row r="839" customFormat="false" ht="15.7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</row>
    <row r="840" customFormat="false" ht="15.7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</row>
    <row r="841" customFormat="false" ht="15.7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</row>
    <row r="842" customFormat="false" ht="15.7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</row>
    <row r="843" customFormat="false" ht="15.7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</row>
    <row r="844" customFormat="false" ht="15.7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</row>
    <row r="845" customFormat="false" ht="15.7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</row>
    <row r="846" customFormat="false" ht="15.7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</row>
    <row r="847" customFormat="false" ht="15.7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</row>
    <row r="848" customFormat="false" ht="15.7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</row>
    <row r="849" customFormat="false" ht="15.7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</row>
    <row r="850" customFormat="false" ht="15.7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</row>
    <row r="851" customFormat="false" ht="15.7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</row>
    <row r="852" customFormat="false" ht="15.7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</row>
    <row r="853" customFormat="false" ht="15.7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</row>
    <row r="854" customFormat="false" ht="15.7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</row>
    <row r="855" customFormat="false" ht="15.7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</row>
    <row r="856" customFormat="false" ht="15.7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</row>
    <row r="857" customFormat="false" ht="15.7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</row>
    <row r="858" customFormat="false" ht="15.7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</row>
    <row r="859" customFormat="false" ht="15.7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</row>
    <row r="860" customFormat="false" ht="15.7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</row>
    <row r="861" customFormat="false" ht="15.7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</row>
    <row r="862" customFormat="false" ht="15.7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</row>
    <row r="863" customFormat="false" ht="15.7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</row>
    <row r="864" customFormat="false" ht="15.7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</row>
    <row r="865" customFormat="false" ht="15.7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</row>
    <row r="866" customFormat="false" ht="15.7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</row>
    <row r="867" customFormat="false" ht="15.7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</row>
    <row r="868" customFormat="false" ht="15.7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</row>
    <row r="869" customFormat="false" ht="15.7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</row>
    <row r="870" customFormat="false" ht="15.7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</row>
    <row r="871" customFormat="false" ht="15.7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</row>
    <row r="872" customFormat="false" ht="15.7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</row>
    <row r="873" customFormat="false" ht="15.7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</row>
    <row r="874" customFormat="false" ht="15.7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</row>
    <row r="875" customFormat="false" ht="15.7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</row>
    <row r="876" customFormat="false" ht="15.7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</row>
    <row r="877" customFormat="false" ht="15.7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</row>
    <row r="878" customFormat="false" ht="15.7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</row>
    <row r="879" customFormat="false" ht="15.7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</row>
    <row r="880" customFormat="false" ht="15.7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</row>
    <row r="881" customFormat="false" ht="15.7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</row>
    <row r="882" customFormat="false" ht="15.7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</row>
    <row r="883" customFormat="false" ht="15.7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</row>
    <row r="884" customFormat="false" ht="15.7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</row>
    <row r="885" customFormat="false" ht="15.7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</row>
    <row r="886" customFormat="false" ht="15.7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</row>
    <row r="887" customFormat="false" ht="15.7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</row>
    <row r="888" customFormat="false" ht="15.7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</row>
    <row r="889" customFormat="false" ht="15.7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</row>
    <row r="890" customFormat="false" ht="15.7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</row>
    <row r="891" customFormat="false" ht="15.7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</row>
    <row r="892" customFormat="false" ht="15.7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</row>
    <row r="893" customFormat="false" ht="15.7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</row>
    <row r="894" customFormat="false" ht="15.7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</row>
    <row r="895" customFormat="false" ht="15.7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</row>
    <row r="896" customFormat="false" ht="15.7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</row>
    <row r="897" customFormat="false" ht="15.7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</row>
    <row r="898" customFormat="false" ht="15.7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</row>
    <row r="899" customFormat="false" ht="15.7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</row>
    <row r="900" customFormat="false" ht="15.7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</row>
    <row r="901" customFormat="false" ht="15.7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</row>
    <row r="902" customFormat="false" ht="15.7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</row>
    <row r="903" customFormat="false" ht="15.7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</row>
    <row r="904" customFormat="false" ht="15.7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</row>
    <row r="905" customFormat="false" ht="15.7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</row>
    <row r="906" customFormat="false" ht="15.7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</row>
    <row r="907" customFormat="false" ht="15.7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</row>
    <row r="908" customFormat="false" ht="15.7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</row>
    <row r="909" customFormat="false" ht="15.7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</row>
    <row r="910" customFormat="false" ht="15.7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</row>
    <row r="911" customFormat="false" ht="15.7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</row>
    <row r="912" customFormat="false" ht="15.7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</row>
    <row r="913" customFormat="false" ht="15.7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</row>
    <row r="914" customFormat="false" ht="15.7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</row>
    <row r="915" customFormat="false" ht="15.7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</row>
    <row r="916" customFormat="false" ht="15.7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</row>
    <row r="917" customFormat="false" ht="15.7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</row>
    <row r="918" customFormat="false" ht="15.7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</row>
    <row r="919" customFormat="false" ht="15.7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</row>
    <row r="920" customFormat="false" ht="15.7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</row>
    <row r="921" customFormat="false" ht="15.7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</row>
    <row r="922" customFormat="false" ht="15.7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</row>
    <row r="923" customFormat="false" ht="15.7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</row>
    <row r="924" customFormat="false" ht="15.7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</row>
    <row r="925" customFormat="false" ht="15.7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</row>
    <row r="926" customFormat="false" ht="15.7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</row>
    <row r="927" customFormat="false" ht="15.7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</row>
    <row r="928" customFormat="false" ht="15.7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</row>
    <row r="929" customFormat="false" ht="15.7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</row>
    <row r="930" customFormat="false" ht="15.7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</row>
    <row r="931" customFormat="false" ht="15.7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</row>
    <row r="932" customFormat="false" ht="15.7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</row>
    <row r="933" customFormat="false" ht="15.7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</row>
    <row r="934" customFormat="false" ht="15.7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</row>
    <row r="935" customFormat="false" ht="15.7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</row>
    <row r="936" customFormat="false" ht="15.7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</row>
    <row r="937" customFormat="false" ht="15.7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</row>
    <row r="938" customFormat="false" ht="15.7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</row>
    <row r="939" customFormat="false" ht="15.7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</row>
    <row r="940" customFormat="false" ht="15.7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</row>
    <row r="941" customFormat="false" ht="15.7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</row>
    <row r="942" customFormat="false" ht="15.7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</row>
    <row r="943" customFormat="false" ht="15.7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</row>
    <row r="944" customFormat="false" ht="15.7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</row>
    <row r="945" customFormat="false" ht="15.7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</row>
    <row r="946" customFormat="false" ht="15.7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</row>
    <row r="947" customFormat="false" ht="15.7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</row>
    <row r="948" customFormat="false" ht="15.7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</row>
    <row r="949" customFormat="false" ht="15.7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</row>
    <row r="950" customFormat="false" ht="15.7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</row>
    <row r="951" customFormat="false" ht="15.7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</row>
    <row r="952" customFormat="false" ht="15.7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</row>
    <row r="953" customFormat="false" ht="15.7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</row>
    <row r="954" customFormat="false" ht="15.7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</row>
    <row r="955" customFormat="false" ht="15.7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</row>
    <row r="956" customFormat="false" ht="15.7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</row>
    <row r="957" customFormat="false" ht="15.7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</row>
    <row r="958" customFormat="false" ht="15.7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</row>
    <row r="959" customFormat="false" ht="15.7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</row>
    <row r="960" customFormat="false" ht="15.7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</row>
    <row r="961" customFormat="false" ht="15.7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</row>
    <row r="962" customFormat="false" ht="15.7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</row>
    <row r="963" customFormat="false" ht="15.7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</row>
    <row r="964" customFormat="false" ht="15.7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</row>
    <row r="965" customFormat="false" ht="15.7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</row>
    <row r="966" customFormat="false" ht="15.7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</row>
    <row r="967" customFormat="false" ht="15.7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</row>
    <row r="968" customFormat="false" ht="15.7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</row>
    <row r="969" customFormat="false" ht="15.7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</row>
    <row r="970" customFormat="false" ht="15.7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</row>
    <row r="971" customFormat="false" ht="15.7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</row>
    <row r="972" customFormat="false" ht="15.7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</row>
    <row r="973" customFormat="false" ht="15.7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</row>
    <row r="974" customFormat="false" ht="15.7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</row>
    <row r="975" customFormat="false" ht="15.7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</row>
    <row r="976" customFormat="false" ht="15.7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</row>
    <row r="977" customFormat="false" ht="15.7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</row>
    <row r="978" customFormat="false" ht="15.7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</row>
    <row r="979" customFormat="false" ht="15.7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</row>
    <row r="980" customFormat="false" ht="15.7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</row>
    <row r="981" customFormat="false" ht="15.7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</row>
    <row r="982" customFormat="false" ht="15.7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</row>
    <row r="983" customFormat="false" ht="15.7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</row>
    <row r="984" customFormat="false" ht="15.7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</row>
    <row r="985" customFormat="false" ht="15.7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</row>
    <row r="986" customFormat="false" ht="15.7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</row>
    <row r="987" customFormat="false" ht="15.7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</row>
    <row r="988" customFormat="false" ht="15.7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</row>
    <row r="989" customFormat="false" ht="15.7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</row>
    <row r="990" customFormat="false" ht="15.7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</row>
    <row r="991" customFormat="false" ht="15.7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</row>
    <row r="992" customFormat="false" ht="15.7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</row>
    <row r="993" customFormat="false" ht="15.7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</row>
    <row r="994" customFormat="false" ht="15.7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</row>
    <row r="995" customFormat="false" ht="15.7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</row>
    <row r="996" customFormat="false" ht="15.7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</row>
    <row r="997" customFormat="false" ht="15.75" hidden="false" customHeight="true" outlineLevel="0" collapsed="false">
      <c r="A997" s="2"/>
      <c r="B997" s="2"/>
      <c r="C997" s="2"/>
      <c r="D997" s="2"/>
      <c r="E997" s="2"/>
      <c r="F997" s="2"/>
      <c r="G997" s="2"/>
      <c r="H997" s="2"/>
    </row>
    <row r="998" customFormat="false" ht="15.75" hidden="false" customHeight="true" outlineLevel="0" collapsed="false">
      <c r="A998" s="2"/>
      <c r="B998" s="2"/>
      <c r="C998" s="2"/>
      <c r="D998" s="2"/>
      <c r="E998" s="2"/>
      <c r="F998" s="2"/>
      <c r="G998" s="2"/>
      <c r="H998" s="2"/>
    </row>
    <row r="999" customFormat="false" ht="15.75" hidden="false" customHeight="true" outlineLevel="0" collapsed="false">
      <c r="A999" s="2"/>
      <c r="B999" s="2"/>
      <c r="C999" s="2"/>
      <c r="D999" s="2"/>
      <c r="E999" s="2"/>
      <c r="F999" s="2"/>
      <c r="G999" s="2"/>
      <c r="H999" s="2"/>
    </row>
    <row r="1000" customFormat="false" ht="15.75" hidden="false" customHeight="true" outlineLevel="0" collapsed="false">
      <c r="A1000" s="2"/>
      <c r="B1000" s="2"/>
      <c r="C1000" s="2"/>
      <c r="D1000" s="2"/>
      <c r="E1000" s="2"/>
      <c r="F1000" s="2"/>
      <c r="G1000" s="2"/>
      <c r="H1000" s="2"/>
    </row>
  </sheetData>
  <mergeCells count="22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1:G31"/>
    <mergeCell ref="B32:H32"/>
    <mergeCell ref="D34:H34"/>
    <mergeCell ref="B39:G39"/>
    <mergeCell ref="B40:G40"/>
    <mergeCell ref="B41:G41"/>
    <mergeCell ref="B43:G43"/>
    <mergeCell ref="B44:G44"/>
    <mergeCell ref="B45:G45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  <c r="G1" s="2"/>
      <c r="H1" s="2"/>
    </row>
    <row r="2" customFormat="false" ht="19.7" hidden="false" customHeight="false" outlineLevel="0" collapsed="false">
      <c r="A2" s="2"/>
      <c r="B2" s="3" t="s">
        <v>858</v>
      </c>
      <c r="C2" s="3"/>
      <c r="D2" s="3"/>
      <c r="E2" s="3"/>
      <c r="F2" s="3"/>
      <c r="G2" s="3"/>
      <c r="H2" s="3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true" outlineLevel="0" collapsed="false">
      <c r="A4" s="2"/>
      <c r="B4" s="4" t="s">
        <v>785</v>
      </c>
      <c r="C4" s="5" t="s">
        <v>859</v>
      </c>
      <c r="D4" s="5"/>
      <c r="E4" s="5"/>
      <c r="F4" s="5"/>
      <c r="G4" s="5"/>
      <c r="H4" s="5"/>
    </row>
    <row r="5" customFormat="false" ht="15" hidden="false" customHeight="true" outlineLevel="0" collapsed="false">
      <c r="A5" s="2"/>
      <c r="B5" s="4" t="s">
        <v>787</v>
      </c>
      <c r="C5" s="5" t="s">
        <v>860</v>
      </c>
      <c r="D5" s="5"/>
      <c r="E5" s="5"/>
      <c r="F5" s="5"/>
      <c r="G5" s="5"/>
      <c r="H5" s="5"/>
    </row>
    <row r="6" customFormat="false" ht="15" hidden="false" customHeight="true" outlineLevel="0" collapsed="false">
      <c r="A6" s="2"/>
      <c r="B6" s="4" t="s">
        <v>18</v>
      </c>
      <c r="C6" s="5" t="s">
        <v>826</v>
      </c>
      <c r="D6" s="5"/>
      <c r="E6" s="5"/>
      <c r="F6" s="5"/>
      <c r="G6" s="5"/>
      <c r="H6" s="5"/>
    </row>
    <row r="7" customFormat="false" ht="15" hidden="false" customHeight="true" outlineLevel="0" collapsed="false">
      <c r="A7" s="2"/>
      <c r="B7" s="4" t="s">
        <v>790</v>
      </c>
      <c r="C7" s="5" t="s">
        <v>861</v>
      </c>
      <c r="D7" s="5"/>
      <c r="E7" s="5"/>
      <c r="F7" s="5"/>
      <c r="G7" s="5"/>
      <c r="H7" s="5"/>
    </row>
    <row r="8" customFormat="false" ht="15" hidden="false" customHeight="false" outlineLevel="0" collapsed="false">
      <c r="A8" s="2"/>
      <c r="B8" s="4" t="s">
        <v>792</v>
      </c>
      <c r="C8" s="43" t="n">
        <f aca="false">RINGKASAN!$K$23</f>
        <v>104791913</v>
      </c>
      <c r="D8" s="43"/>
      <c r="E8" s="43"/>
      <c r="F8" s="43"/>
      <c r="G8" s="43"/>
      <c r="H8" s="43"/>
    </row>
    <row r="9" customFormat="false" ht="15" hidden="false" customHeight="true" outlineLevel="0" collapsed="false">
      <c r="A9" s="2"/>
      <c r="B9" s="4" t="s">
        <v>81</v>
      </c>
      <c r="C9" s="5" t="s">
        <v>793</v>
      </c>
      <c r="D9" s="5"/>
      <c r="E9" s="5"/>
      <c r="F9" s="5"/>
      <c r="G9" s="5"/>
      <c r="H9" s="5"/>
    </row>
    <row r="10" customFormat="false" ht="15" hidden="false" customHeight="true" outlineLevel="0" collapsed="false">
      <c r="A10" s="2"/>
      <c r="B10" s="4" t="s">
        <v>9</v>
      </c>
      <c r="C10" s="5" t="s">
        <v>10</v>
      </c>
      <c r="D10" s="5"/>
      <c r="E10" s="5"/>
      <c r="F10" s="5"/>
      <c r="G10" s="5"/>
      <c r="H10" s="5"/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</row>
    <row r="12" customFormat="false" ht="21.75" hidden="false" customHeight="true" outlineLevel="0" collapsed="false">
      <c r="A12" s="2"/>
      <c r="B12" s="15" t="s">
        <v>794</v>
      </c>
      <c r="C12" s="15"/>
      <c r="D12" s="15"/>
      <c r="E12" s="15"/>
      <c r="F12" s="15"/>
      <c r="G12" s="15"/>
      <c r="H12" s="15"/>
    </row>
    <row r="13" customFormat="false" ht="27.75" hidden="false" customHeight="true" outlineLevel="0" collapsed="false">
      <c r="A13" s="2"/>
      <c r="B13" s="7" t="s">
        <v>16</v>
      </c>
      <c r="C13" s="7" t="s">
        <v>795</v>
      </c>
      <c r="D13" s="7" t="s">
        <v>796</v>
      </c>
      <c r="E13" s="7" t="s">
        <v>797</v>
      </c>
      <c r="F13" s="7" t="s">
        <v>89</v>
      </c>
      <c r="G13" s="7" t="s">
        <v>90</v>
      </c>
      <c r="H13" s="7" t="s">
        <v>798</v>
      </c>
    </row>
    <row r="14" customFormat="false" ht="21.75" hidden="false" customHeight="true" outlineLevel="0" collapsed="false">
      <c r="A14" s="2"/>
      <c r="B14" s="33" t="s">
        <v>799</v>
      </c>
      <c r="C14" s="34" t="s">
        <v>800</v>
      </c>
      <c r="D14" s="35"/>
      <c r="E14" s="35"/>
      <c r="F14" s="35"/>
      <c r="G14" s="35"/>
      <c r="H14" s="35"/>
    </row>
    <row r="15" customFormat="false" ht="36" hidden="false" customHeight="true" outlineLevel="0" collapsed="false">
      <c r="A15" s="2"/>
      <c r="B15" s="9" t="s">
        <v>801</v>
      </c>
      <c r="C15" s="17" t="s">
        <v>108</v>
      </c>
      <c r="D15" s="36" t="n">
        <v>45</v>
      </c>
      <c r="E15" s="36" t="n">
        <v>45</v>
      </c>
      <c r="F15" s="18" t="s">
        <v>94</v>
      </c>
      <c r="G15" s="8" t="n">
        <f aca="false">'Master of Price'!$G$19</f>
        <v>352000</v>
      </c>
      <c r="H15" s="8" t="n">
        <f aca="false">E15*G15</f>
        <v>15840000</v>
      </c>
    </row>
    <row r="16" customFormat="false" ht="27.75" hidden="false" customHeight="true" outlineLevel="0" collapsed="false">
      <c r="A16" s="2"/>
      <c r="B16" s="9" t="s">
        <v>802</v>
      </c>
      <c r="C16" s="17" t="s">
        <v>96</v>
      </c>
      <c r="D16" s="36" t="n">
        <v>45</v>
      </c>
      <c r="E16" s="36" t="n">
        <v>45</v>
      </c>
      <c r="F16" s="18" t="s">
        <v>94</v>
      </c>
      <c r="G16" s="8" t="n">
        <f aca="false">'Master of Price'!$G$13</f>
        <v>100000</v>
      </c>
      <c r="H16" s="8" t="n">
        <f aca="false">E16*G16</f>
        <v>4500000</v>
      </c>
    </row>
    <row r="17" customFormat="false" ht="27.75" hidden="false" customHeight="true" outlineLevel="0" collapsed="false">
      <c r="A17" s="2"/>
      <c r="B17" s="9" t="s">
        <v>803</v>
      </c>
      <c r="C17" s="17" t="s">
        <v>98</v>
      </c>
      <c r="D17" s="36" t="n">
        <v>45</v>
      </c>
      <c r="E17" s="36" t="n">
        <v>45</v>
      </c>
      <c r="F17" s="18" t="s">
        <v>94</v>
      </c>
      <c r="G17" s="8" t="n">
        <f aca="false">'Master of Price'!$G$14</f>
        <v>28000</v>
      </c>
      <c r="H17" s="8" t="n">
        <f aca="false">E17*G17</f>
        <v>1260000</v>
      </c>
    </row>
    <row r="18" customFormat="false" ht="27.75" hidden="false" customHeight="true" outlineLevel="0" collapsed="false">
      <c r="A18" s="2"/>
      <c r="B18" s="9" t="s">
        <v>804</v>
      </c>
      <c r="C18" s="17" t="s">
        <v>100</v>
      </c>
      <c r="D18" s="36" t="n">
        <v>45</v>
      </c>
      <c r="E18" s="36" t="n">
        <v>45</v>
      </c>
      <c r="F18" s="18" t="s">
        <v>94</v>
      </c>
      <c r="G18" s="8" t="n">
        <f aca="false">'Master of Price'!$G$15</f>
        <v>45000</v>
      </c>
      <c r="H18" s="8" t="n">
        <f aca="false">E18*G18</f>
        <v>2025000</v>
      </c>
    </row>
    <row r="19" customFormat="false" ht="27.75" hidden="false" customHeight="true" outlineLevel="0" collapsed="false">
      <c r="A19" s="2"/>
      <c r="B19" s="9" t="s">
        <v>805</v>
      </c>
      <c r="C19" s="17" t="s">
        <v>102</v>
      </c>
      <c r="D19" s="36" t="n">
        <v>45</v>
      </c>
      <c r="E19" s="36" t="n">
        <v>45</v>
      </c>
      <c r="F19" s="18" t="s">
        <v>94</v>
      </c>
      <c r="G19" s="8" t="n">
        <f aca="false">'Master of Price'!$G$16</f>
        <v>75000</v>
      </c>
      <c r="H19" s="8" t="n">
        <f aca="false">E19*G19</f>
        <v>3375000</v>
      </c>
    </row>
    <row r="20" customFormat="false" ht="25.5" hidden="false" customHeight="true" outlineLevel="0" collapsed="false">
      <c r="A20" s="2"/>
      <c r="B20" s="23" t="s">
        <v>806</v>
      </c>
      <c r="C20" s="23"/>
      <c r="D20" s="23"/>
      <c r="E20" s="23"/>
      <c r="F20" s="23"/>
      <c r="G20" s="23"/>
      <c r="H20" s="11" t="n">
        <f aca="false">SUM(H15:H19)</f>
        <v>27000000</v>
      </c>
    </row>
    <row r="21" customFormat="false" ht="21.75" hidden="false" customHeight="true" outlineLevel="0" collapsed="false">
      <c r="A21" s="2"/>
      <c r="B21" s="15" t="s">
        <v>807</v>
      </c>
      <c r="C21" s="15"/>
      <c r="D21" s="15"/>
      <c r="E21" s="15"/>
      <c r="F21" s="15"/>
      <c r="G21" s="15"/>
      <c r="H21" s="15"/>
    </row>
    <row r="22" customFormat="false" ht="27.75" hidden="false" customHeight="true" outlineLevel="0" collapsed="false">
      <c r="A22" s="2"/>
      <c r="B22" s="7" t="s">
        <v>16</v>
      </c>
      <c r="C22" s="7" t="s">
        <v>795</v>
      </c>
      <c r="D22" s="7" t="s">
        <v>796</v>
      </c>
      <c r="E22" s="7" t="s">
        <v>797</v>
      </c>
      <c r="F22" s="7" t="s">
        <v>89</v>
      </c>
      <c r="G22" s="7" t="s">
        <v>90</v>
      </c>
      <c r="H22" s="7" t="s">
        <v>798</v>
      </c>
    </row>
    <row r="23" customFormat="false" ht="21.75" hidden="false" customHeight="true" outlineLevel="0" collapsed="false">
      <c r="A23" s="2"/>
      <c r="B23" s="33" t="s">
        <v>808</v>
      </c>
      <c r="C23" s="34" t="s">
        <v>809</v>
      </c>
      <c r="D23" s="35"/>
      <c r="E23" s="35"/>
      <c r="F23" s="35"/>
      <c r="G23" s="35"/>
      <c r="H23" s="35"/>
    </row>
    <row r="24" customFormat="false" ht="27.75" hidden="false" customHeight="true" outlineLevel="0" collapsed="false">
      <c r="A24" s="2"/>
      <c r="B24" s="9" t="s">
        <v>810</v>
      </c>
      <c r="C24" s="17" t="s">
        <v>116</v>
      </c>
      <c r="D24" s="36" t="n">
        <v>5.07</v>
      </c>
      <c r="E24" s="36" t="n">
        <v>5.07</v>
      </c>
      <c r="F24" s="18" t="s">
        <v>114</v>
      </c>
      <c r="G24" s="8" t="n">
        <f aca="false">'Master of Price'!$G$22</f>
        <v>47500</v>
      </c>
      <c r="H24" s="8" t="n">
        <f aca="false">E24*G24</f>
        <v>240825</v>
      </c>
    </row>
    <row r="25" customFormat="false" ht="21.75" hidden="false" customHeight="true" outlineLevel="0" collapsed="false">
      <c r="A25" s="2"/>
      <c r="B25" s="9" t="s">
        <v>828</v>
      </c>
      <c r="C25" s="17" t="s">
        <v>118</v>
      </c>
      <c r="D25" s="36" t="n">
        <v>0.39</v>
      </c>
      <c r="E25" s="36" t="n">
        <v>0.39</v>
      </c>
      <c r="F25" s="18" t="s">
        <v>114</v>
      </c>
      <c r="G25" s="8" t="n">
        <f aca="false">'Master of Price'!$G$23</f>
        <v>90000</v>
      </c>
      <c r="H25" s="8" t="n">
        <f aca="false">E25*G25</f>
        <v>35100</v>
      </c>
    </row>
    <row r="26" customFormat="false" ht="21.75" hidden="false" customHeight="true" outlineLevel="0" collapsed="false">
      <c r="A26" s="2"/>
      <c r="B26" s="9" t="s">
        <v>829</v>
      </c>
      <c r="C26" s="17" t="s">
        <v>120</v>
      </c>
      <c r="D26" s="36" t="n">
        <v>0.08</v>
      </c>
      <c r="E26" s="36" t="n">
        <v>0.08</v>
      </c>
      <c r="F26" s="18" t="s">
        <v>114</v>
      </c>
      <c r="G26" s="8" t="n">
        <f aca="false">'Master of Price'!$G$24</f>
        <v>130000</v>
      </c>
      <c r="H26" s="8" t="n">
        <f aca="false">E26*G26</f>
        <v>10400</v>
      </c>
    </row>
    <row r="27" customFormat="false" ht="27.75" hidden="false" customHeight="true" outlineLevel="0" collapsed="false">
      <c r="A27" s="2"/>
      <c r="B27" s="9" t="s">
        <v>830</v>
      </c>
      <c r="C27" s="17" t="s">
        <v>122</v>
      </c>
      <c r="D27" s="36" t="n">
        <v>3.9</v>
      </c>
      <c r="E27" s="36" t="n">
        <v>3.9</v>
      </c>
      <c r="F27" s="18" t="s">
        <v>114</v>
      </c>
      <c r="G27" s="8" t="n">
        <f aca="false">'Master of Price'!$G$25</f>
        <v>700000</v>
      </c>
      <c r="H27" s="8" t="n">
        <f aca="false">E27*G27</f>
        <v>2730000</v>
      </c>
    </row>
    <row r="28" customFormat="false" ht="36" hidden="false" customHeight="true" outlineLevel="0" collapsed="false">
      <c r="A28" s="2"/>
      <c r="B28" s="9" t="s">
        <v>831</v>
      </c>
      <c r="C28" s="17" t="s">
        <v>124</v>
      </c>
      <c r="D28" s="36" t="n">
        <v>0.975</v>
      </c>
      <c r="E28" s="36" t="n">
        <v>0.975</v>
      </c>
      <c r="F28" s="18" t="s">
        <v>114</v>
      </c>
      <c r="G28" s="8" t="n">
        <f aca="false">'Master of Price'!$G$26</f>
        <v>1000000</v>
      </c>
      <c r="H28" s="8" t="n">
        <f aca="false">E28*G28</f>
        <v>975000</v>
      </c>
    </row>
    <row r="29" customFormat="false" ht="36" hidden="false" customHeight="true" outlineLevel="0" collapsed="false">
      <c r="A29" s="2"/>
      <c r="B29" s="9" t="s">
        <v>832</v>
      </c>
      <c r="C29" s="17" t="s">
        <v>113</v>
      </c>
      <c r="D29" s="36" t="n">
        <v>0.1</v>
      </c>
      <c r="E29" s="36" t="n">
        <v>0.1</v>
      </c>
      <c r="F29" s="18" t="s">
        <v>114</v>
      </c>
      <c r="G29" s="8" t="n">
        <f aca="false">'Master of Price'!$G$21</f>
        <v>1000000</v>
      </c>
      <c r="H29" s="8" t="n">
        <f aca="false">E29*G29</f>
        <v>100000</v>
      </c>
    </row>
    <row r="30" customFormat="false" ht="36" hidden="false" customHeight="true" outlineLevel="0" collapsed="false">
      <c r="A30" s="2"/>
      <c r="B30" s="9" t="s">
        <v>833</v>
      </c>
      <c r="C30" s="17" t="s">
        <v>128</v>
      </c>
      <c r="D30" s="36" t="n">
        <v>1</v>
      </c>
      <c r="E30" s="36" t="n">
        <v>1</v>
      </c>
      <c r="F30" s="18" t="s">
        <v>129</v>
      </c>
      <c r="G30" s="8" t="n">
        <f aca="false">'Master of Price'!$G$28</f>
        <v>4500000</v>
      </c>
      <c r="H30" s="8" t="n">
        <f aca="false">E30*G30</f>
        <v>4500000</v>
      </c>
    </row>
    <row r="31" customFormat="false" ht="25.5" hidden="false" customHeight="true" outlineLevel="0" collapsed="false">
      <c r="A31" s="2"/>
      <c r="B31" s="23" t="s">
        <v>811</v>
      </c>
      <c r="C31" s="23"/>
      <c r="D31" s="23"/>
      <c r="E31" s="23"/>
      <c r="F31" s="23"/>
      <c r="G31" s="23"/>
      <c r="H31" s="11" t="n">
        <f aca="false">SUM(H24:H30)</f>
        <v>8591325</v>
      </c>
    </row>
    <row r="32" customFormat="false" ht="21.75" hidden="false" customHeight="true" outlineLevel="0" collapsed="false">
      <c r="A32" s="2"/>
      <c r="B32" s="15" t="s">
        <v>834</v>
      </c>
      <c r="C32" s="15"/>
      <c r="D32" s="15"/>
      <c r="E32" s="15"/>
      <c r="F32" s="15"/>
      <c r="G32" s="15"/>
      <c r="H32" s="15"/>
    </row>
    <row r="33" customFormat="false" ht="27.75" hidden="false" customHeight="true" outlineLevel="0" collapsed="false">
      <c r="A33" s="2"/>
      <c r="B33" s="7" t="s">
        <v>16</v>
      </c>
      <c r="C33" s="7" t="s">
        <v>795</v>
      </c>
      <c r="D33" s="7" t="s">
        <v>796</v>
      </c>
      <c r="E33" s="7" t="s">
        <v>797</v>
      </c>
      <c r="F33" s="7" t="s">
        <v>89</v>
      </c>
      <c r="G33" s="7" t="s">
        <v>90</v>
      </c>
      <c r="H33" s="7" t="s">
        <v>798</v>
      </c>
    </row>
    <row r="34" customFormat="false" ht="21.75" hidden="false" customHeight="true" outlineLevel="0" collapsed="false">
      <c r="A34" s="2"/>
      <c r="B34" s="33" t="s">
        <v>813</v>
      </c>
      <c r="C34" s="34" t="s">
        <v>835</v>
      </c>
      <c r="D34" s="35"/>
      <c r="E34" s="35"/>
      <c r="F34" s="35"/>
      <c r="G34" s="35"/>
      <c r="H34" s="35"/>
    </row>
    <row r="35" customFormat="false" ht="36" hidden="false" customHeight="true" outlineLevel="0" collapsed="false">
      <c r="A35" s="2"/>
      <c r="B35" s="9" t="s">
        <v>815</v>
      </c>
      <c r="C35" s="17" t="s">
        <v>132</v>
      </c>
      <c r="D35" s="36" t="n">
        <v>1</v>
      </c>
      <c r="E35" s="36" t="n">
        <v>1</v>
      </c>
      <c r="F35" s="18" t="s">
        <v>133</v>
      </c>
      <c r="G35" s="8" t="n">
        <f aca="false">'Master of Price'!$G$29</f>
        <v>24000000</v>
      </c>
      <c r="H35" s="8" t="n">
        <f aca="false">E35*G35</f>
        <v>24000000</v>
      </c>
    </row>
    <row r="36" customFormat="false" ht="27.75" hidden="false" customHeight="true" outlineLevel="0" collapsed="false">
      <c r="A36" s="2"/>
      <c r="B36" s="9" t="s">
        <v>816</v>
      </c>
      <c r="C36" s="17" t="s">
        <v>135</v>
      </c>
      <c r="D36" s="36" t="n">
        <v>1</v>
      </c>
      <c r="E36" s="36" t="n">
        <v>1</v>
      </c>
      <c r="F36" s="18" t="s">
        <v>136</v>
      </c>
      <c r="G36" s="8" t="n">
        <f aca="false">'Master of Price'!$G$30</f>
        <v>1500000</v>
      </c>
      <c r="H36" s="8" t="n">
        <f aca="false">E36*G36</f>
        <v>1500000</v>
      </c>
    </row>
    <row r="37" customFormat="false" ht="36" hidden="false" customHeight="true" outlineLevel="0" collapsed="false">
      <c r="A37" s="2"/>
      <c r="B37" s="9" t="s">
        <v>836</v>
      </c>
      <c r="C37" s="17" t="s">
        <v>138</v>
      </c>
      <c r="D37" s="36" t="n">
        <v>5</v>
      </c>
      <c r="E37" s="36" t="n">
        <v>5</v>
      </c>
      <c r="F37" s="18" t="s">
        <v>133</v>
      </c>
      <c r="G37" s="8" t="n">
        <f aca="false">'Master of Price'!$G$31</f>
        <v>2100000</v>
      </c>
      <c r="H37" s="8" t="n">
        <f aca="false">E37*G37</f>
        <v>10500000</v>
      </c>
    </row>
    <row r="38" customFormat="false" ht="36" hidden="false" customHeight="true" outlineLevel="0" collapsed="false">
      <c r="A38" s="2"/>
      <c r="B38" s="9" t="s">
        <v>837</v>
      </c>
      <c r="C38" s="17" t="s">
        <v>140</v>
      </c>
      <c r="D38" s="36" t="n">
        <v>1</v>
      </c>
      <c r="E38" s="36" t="n">
        <v>1</v>
      </c>
      <c r="F38" s="18" t="s">
        <v>136</v>
      </c>
      <c r="G38" s="8" t="n">
        <f aca="false">'Master of Price'!$G$32</f>
        <v>2500000</v>
      </c>
      <c r="H38" s="8" t="n">
        <f aca="false">E38*G38</f>
        <v>2500000</v>
      </c>
    </row>
    <row r="39" customFormat="false" ht="25.5" hidden="false" customHeight="true" outlineLevel="0" collapsed="false">
      <c r="A39" s="2"/>
      <c r="B39" s="23" t="s">
        <v>838</v>
      </c>
      <c r="C39" s="23"/>
      <c r="D39" s="23"/>
      <c r="E39" s="23"/>
      <c r="F39" s="23"/>
      <c r="G39" s="23"/>
      <c r="H39" s="11" t="n">
        <f aca="false">SUM(H35:H38)</f>
        <v>38500000</v>
      </c>
    </row>
    <row r="40" customFormat="false" ht="21.75" hidden="false" customHeight="true" outlineLevel="0" collapsed="false">
      <c r="A40" s="2"/>
      <c r="B40" s="37" t="s">
        <v>818</v>
      </c>
      <c r="C40" s="37"/>
      <c r="D40" s="37"/>
      <c r="E40" s="37"/>
      <c r="F40" s="37"/>
      <c r="G40" s="37"/>
      <c r="H40" s="38" t="n">
        <f aca="false">H43-(H20+H31+H39)</f>
        <v>30700588</v>
      </c>
    </row>
    <row r="41" customFormat="false" ht="27.75" hidden="false" customHeight="true" outlineLevel="0" collapsed="false">
      <c r="A41" s="2"/>
      <c r="B41" s="10" t="s">
        <v>819</v>
      </c>
      <c r="C41" s="10"/>
      <c r="D41" s="10"/>
      <c r="E41" s="10"/>
      <c r="F41" s="10"/>
      <c r="G41" s="10"/>
      <c r="H41" s="39" t="n">
        <f aca="false">H20+H31+H39+H40</f>
        <v>104791913</v>
      </c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</row>
    <row r="43" customFormat="false" ht="21.75" hidden="false" customHeight="true" outlineLevel="0" collapsed="false">
      <c r="A43" s="2"/>
      <c r="B43" s="21" t="s">
        <v>820</v>
      </c>
      <c r="C43" s="21"/>
      <c r="D43" s="21"/>
      <c r="E43" s="21"/>
      <c r="F43" s="21"/>
      <c r="G43" s="21"/>
      <c r="H43" s="40" t="n">
        <f aca="false">RINGKASAN!$K$23</f>
        <v>104791913</v>
      </c>
    </row>
    <row r="44" customFormat="false" ht="21.75" hidden="false" customHeight="true" outlineLevel="0" collapsed="false">
      <c r="A44" s="2"/>
      <c r="B44" s="41" t="s">
        <v>821</v>
      </c>
      <c r="C44" s="41"/>
      <c r="D44" s="41"/>
      <c r="E44" s="41"/>
      <c r="F44" s="41"/>
      <c r="G44" s="41"/>
      <c r="H44" s="8" t="n">
        <f aca="false">H41-H43</f>
        <v>0</v>
      </c>
    </row>
    <row r="45" customFormat="false" ht="21.75" hidden="false" customHeight="true" outlineLevel="0" collapsed="false">
      <c r="A45" s="2"/>
      <c r="B45" s="42" t="s">
        <v>822</v>
      </c>
      <c r="C45" s="42"/>
      <c r="D45" s="42"/>
      <c r="E45" s="42"/>
      <c r="F45" s="42"/>
      <c r="G45" s="42"/>
      <c r="H45" s="37" t="str">
        <f aca="false">IF(H40&lt;0,"OVER BUDGET","OK")</f>
        <v>OK</v>
      </c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</row>
    <row r="61" customFormat="false" ht="15" hidden="false" customHeight="false" outlineLevel="0" collapsed="false">
      <c r="A61" s="2"/>
      <c r="B61" s="2"/>
      <c r="C61" s="2"/>
      <c r="D61" s="2"/>
      <c r="E61" s="2"/>
      <c r="F61" s="2"/>
      <c r="G61" s="2"/>
      <c r="H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  <c r="G62" s="2"/>
      <c r="H62" s="2"/>
    </row>
    <row r="63" customFormat="false" ht="15" hidden="false" customHeight="false" outlineLevel="0" collapsed="false">
      <c r="A63" s="2"/>
      <c r="B63" s="2"/>
      <c r="C63" s="2"/>
      <c r="D63" s="2"/>
      <c r="E63" s="2"/>
      <c r="F63" s="2"/>
      <c r="G63" s="2"/>
      <c r="H63" s="2"/>
    </row>
    <row r="64" customFormat="false" ht="15" hidden="false" customHeight="false" outlineLevel="0" collapsed="false">
      <c r="A64" s="2"/>
      <c r="B64" s="2"/>
      <c r="C64" s="2"/>
      <c r="D64" s="2"/>
      <c r="E64" s="2"/>
      <c r="F64" s="2"/>
      <c r="G64" s="2"/>
      <c r="H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</row>
    <row r="66" customFormat="false" ht="15" hidden="false" customHeight="false" outlineLevel="0" collapsed="false">
      <c r="A66" s="2"/>
      <c r="B66" s="2"/>
      <c r="C66" s="2"/>
      <c r="D66" s="2"/>
      <c r="E66" s="2"/>
      <c r="F66" s="2"/>
      <c r="G66" s="2"/>
      <c r="H66" s="2"/>
    </row>
    <row r="67" customFormat="false" ht="15" hidden="false" customHeight="false" outlineLevel="0" collapsed="false">
      <c r="A67" s="2"/>
      <c r="B67" s="2"/>
      <c r="C67" s="2"/>
      <c r="D67" s="2"/>
      <c r="E67" s="2"/>
      <c r="F67" s="2"/>
      <c r="G67" s="2"/>
      <c r="H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"/>
      <c r="H70" s="2"/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</row>
    <row r="250" customFormat="false" ht="15.7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</row>
    <row r="251" customFormat="false" ht="15.7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</row>
    <row r="252" customFormat="false" ht="15.7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</row>
    <row r="253" customFormat="false" ht="15.7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</row>
    <row r="254" customFormat="false" ht="15.7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</row>
    <row r="255" customFormat="false" ht="15.7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</row>
    <row r="256" customFormat="false" ht="15.7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</row>
    <row r="257" customFormat="false" ht="15.7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</row>
    <row r="258" customFormat="false" ht="15.7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</row>
    <row r="259" customFormat="false" ht="15.7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</row>
    <row r="260" customFormat="false" ht="15.7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</row>
    <row r="261" customFormat="false" ht="15.7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</row>
    <row r="262" customFormat="false" ht="15.7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</row>
    <row r="263" customFormat="false" ht="15.7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</row>
    <row r="264" customFormat="false" ht="15.7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</row>
    <row r="265" customFormat="false" ht="15.7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</row>
    <row r="266" customFormat="false" ht="15.7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</row>
    <row r="267" customFormat="false" ht="15.7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</row>
    <row r="268" customFormat="false" ht="15.7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</row>
    <row r="269" customFormat="false" ht="15.7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</row>
    <row r="270" customFormat="false" ht="15.7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</row>
    <row r="271" customFormat="false" ht="15.7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</row>
    <row r="272" customFormat="false" ht="15.7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</row>
    <row r="273" customFormat="false" ht="15.7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</row>
    <row r="274" customFormat="false" ht="15.7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</row>
    <row r="275" customFormat="false" ht="15.7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</row>
    <row r="276" customFormat="false" ht="15.7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</row>
    <row r="277" customFormat="false" ht="15.7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</row>
    <row r="278" customFormat="false" ht="15.7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</row>
    <row r="279" customFormat="false" ht="15.7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</row>
    <row r="280" customFormat="false" ht="15.7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</row>
    <row r="281" customFormat="false" ht="15.7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</row>
    <row r="282" customFormat="false" ht="15.7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</row>
    <row r="283" customFormat="false" ht="15.7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</row>
    <row r="284" customFormat="false" ht="15.7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</row>
    <row r="285" customFormat="false" ht="15.7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</row>
    <row r="286" customFormat="false" ht="15.7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</row>
    <row r="287" customFormat="false" ht="15.7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</row>
    <row r="288" customFormat="false" ht="15.7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</row>
    <row r="289" customFormat="false" ht="15.7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</row>
    <row r="290" customFormat="false" ht="15.7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</row>
    <row r="291" customFormat="false" ht="15.7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</row>
    <row r="292" customFormat="false" ht="15.7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</row>
    <row r="293" customFormat="false" ht="15.7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</row>
    <row r="294" customFormat="false" ht="15.7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</row>
    <row r="295" customFormat="false" ht="15.7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</row>
    <row r="296" customFormat="false" ht="15.7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</row>
    <row r="297" customFormat="false" ht="15.7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</row>
    <row r="298" customFormat="false" ht="15.7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</row>
    <row r="299" customFormat="false" ht="15.7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</row>
    <row r="300" customFormat="false" ht="15.7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</row>
    <row r="301" customFormat="false" ht="15.7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</row>
    <row r="302" customFormat="false" ht="15.7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</row>
    <row r="303" customFormat="false" ht="15.7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</row>
    <row r="304" customFormat="false" ht="15.7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</row>
    <row r="305" customFormat="false" ht="15.7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</row>
    <row r="306" customFormat="false" ht="15.7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</row>
    <row r="307" customFormat="false" ht="15.7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</row>
    <row r="308" customFormat="false" ht="15.7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</row>
    <row r="309" customFormat="false" ht="15.7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</row>
    <row r="310" customFormat="false" ht="15.7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</row>
    <row r="311" customFormat="false" ht="15.7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</row>
    <row r="312" customFormat="false" ht="15.7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</row>
    <row r="313" customFormat="false" ht="15.7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</row>
    <row r="314" customFormat="false" ht="15.7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</row>
    <row r="315" customFormat="false" ht="15.7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</row>
    <row r="316" customFormat="false" ht="15.7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</row>
    <row r="317" customFormat="false" ht="15.7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</row>
    <row r="318" customFormat="false" ht="15.7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</row>
    <row r="319" customFormat="false" ht="15.7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</row>
    <row r="320" customFormat="false" ht="15.7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</row>
    <row r="321" customFormat="false" ht="15.7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</row>
    <row r="322" customFormat="false" ht="15.7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</row>
    <row r="323" customFormat="false" ht="15.7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</row>
    <row r="324" customFormat="false" ht="15.7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</row>
    <row r="325" customFormat="false" ht="15.7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</row>
    <row r="326" customFormat="false" ht="15.7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</row>
    <row r="327" customFormat="false" ht="15.7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</row>
    <row r="328" customFormat="false" ht="15.7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</row>
    <row r="329" customFormat="false" ht="15.7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</row>
    <row r="330" customFormat="false" ht="15.7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</row>
    <row r="331" customFormat="false" ht="15.7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</row>
    <row r="332" customFormat="false" ht="15.7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</row>
    <row r="333" customFormat="false" ht="15.7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</row>
    <row r="334" customFormat="false" ht="15.7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</row>
    <row r="335" customFormat="false" ht="15.7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</row>
    <row r="336" customFormat="false" ht="15.7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</row>
    <row r="337" customFormat="false" ht="15.7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</row>
    <row r="338" customFormat="false" ht="15.7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</row>
    <row r="339" customFormat="false" ht="15.7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</row>
    <row r="340" customFormat="false" ht="15.7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</row>
    <row r="341" customFormat="false" ht="15.7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</row>
    <row r="342" customFormat="false" ht="15.7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</row>
    <row r="343" customFormat="false" ht="15.7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</row>
    <row r="344" customFormat="false" ht="15.7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</row>
    <row r="345" customFormat="false" ht="15.7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</row>
    <row r="346" customFormat="false" ht="15.7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</row>
    <row r="347" customFormat="false" ht="15.7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</row>
    <row r="348" customFormat="false" ht="15.7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</row>
    <row r="349" customFormat="false" ht="15.7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</row>
    <row r="350" customFormat="false" ht="15.7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</row>
    <row r="351" customFormat="false" ht="15.7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</row>
    <row r="352" customFormat="false" ht="15.7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</row>
    <row r="353" customFormat="false" ht="15.7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</row>
    <row r="354" customFormat="false" ht="15.7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</row>
    <row r="355" customFormat="false" ht="15.7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</row>
    <row r="356" customFormat="false" ht="15.7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</row>
    <row r="357" customFormat="false" ht="15.7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</row>
    <row r="358" customFormat="false" ht="15.7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</row>
    <row r="359" customFormat="false" ht="15.7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</row>
    <row r="360" customFormat="false" ht="15.7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</row>
    <row r="361" customFormat="false" ht="15.7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</row>
    <row r="362" customFormat="false" ht="15.7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</row>
    <row r="363" customFormat="false" ht="15.7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</row>
    <row r="364" customFormat="false" ht="15.7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</row>
    <row r="365" customFormat="false" ht="15.7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</row>
    <row r="366" customFormat="false" ht="15.7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</row>
    <row r="367" customFormat="false" ht="15.7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</row>
    <row r="368" customFormat="false" ht="15.7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</row>
    <row r="369" customFormat="false" ht="15.7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</row>
    <row r="370" customFormat="false" ht="15.7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</row>
    <row r="371" customFormat="false" ht="15.7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</row>
    <row r="372" customFormat="false" ht="15.7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</row>
    <row r="373" customFormat="false" ht="15.7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</row>
    <row r="374" customFormat="false" ht="15.7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</row>
    <row r="375" customFormat="false" ht="15.7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</row>
    <row r="376" customFormat="false" ht="15.7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</row>
    <row r="377" customFormat="false" ht="15.7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</row>
    <row r="378" customFormat="false" ht="15.7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</row>
    <row r="379" customFormat="false" ht="15.7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</row>
    <row r="380" customFormat="false" ht="15.7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</row>
    <row r="381" customFormat="false" ht="15.7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</row>
    <row r="382" customFormat="false" ht="15.7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</row>
    <row r="383" customFormat="false" ht="15.7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</row>
    <row r="384" customFormat="false" ht="15.7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</row>
    <row r="385" customFormat="false" ht="15.7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</row>
    <row r="386" customFormat="false" ht="15.7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</row>
    <row r="387" customFormat="false" ht="15.7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</row>
    <row r="388" customFormat="false" ht="15.7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</row>
    <row r="389" customFormat="false" ht="15.7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</row>
    <row r="390" customFormat="false" ht="15.7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</row>
    <row r="391" customFormat="false" ht="15.7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</row>
    <row r="392" customFormat="false" ht="15.7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</row>
    <row r="393" customFormat="false" ht="15.7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</row>
    <row r="394" customFormat="false" ht="15.7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</row>
    <row r="395" customFormat="false" ht="15.7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</row>
    <row r="396" customFormat="false" ht="15.7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</row>
    <row r="397" customFormat="false" ht="15.7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</row>
    <row r="398" customFormat="false" ht="15.7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</row>
    <row r="399" customFormat="false" ht="15.7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</row>
    <row r="400" customFormat="false" ht="15.7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</row>
    <row r="401" customFormat="false" ht="15.7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</row>
    <row r="402" customFormat="false" ht="15.7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</row>
    <row r="403" customFormat="false" ht="15.7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</row>
    <row r="404" customFormat="false" ht="15.7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</row>
    <row r="405" customFormat="false" ht="15.7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</row>
    <row r="406" customFormat="false" ht="15.7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</row>
    <row r="407" customFormat="false" ht="15.7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</row>
    <row r="408" customFormat="false" ht="15.7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</row>
    <row r="409" customFormat="false" ht="15.7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</row>
    <row r="410" customFormat="false" ht="15.7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</row>
    <row r="411" customFormat="false" ht="15.7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</row>
    <row r="412" customFormat="false" ht="15.7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</row>
    <row r="413" customFormat="false" ht="15.7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</row>
    <row r="414" customFormat="false" ht="15.7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</row>
    <row r="415" customFormat="false" ht="15.7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</row>
    <row r="416" customFormat="false" ht="15.7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</row>
    <row r="417" customFormat="false" ht="15.7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</row>
    <row r="418" customFormat="false" ht="15.7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</row>
    <row r="419" customFormat="false" ht="15.7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</row>
    <row r="420" customFormat="false" ht="15.7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</row>
    <row r="421" customFormat="false" ht="15.7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</row>
    <row r="422" customFormat="false" ht="15.7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</row>
    <row r="423" customFormat="false" ht="15.7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</row>
    <row r="424" customFormat="false" ht="15.7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</row>
    <row r="425" customFormat="false" ht="15.7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</row>
    <row r="426" customFormat="false" ht="15.7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</row>
    <row r="427" customFormat="false" ht="15.7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</row>
    <row r="428" customFormat="false" ht="15.7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</row>
    <row r="429" customFormat="false" ht="15.7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</row>
    <row r="430" customFormat="false" ht="15.7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</row>
    <row r="431" customFormat="false" ht="15.7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</row>
    <row r="432" customFormat="false" ht="15.7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</row>
    <row r="433" customFormat="false" ht="15.7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</row>
    <row r="434" customFormat="false" ht="15.7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</row>
    <row r="435" customFormat="false" ht="15.7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</row>
    <row r="436" customFormat="false" ht="15.7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</row>
    <row r="437" customFormat="false" ht="15.7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</row>
    <row r="438" customFormat="false" ht="15.7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</row>
    <row r="439" customFormat="false" ht="15.7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</row>
    <row r="440" customFormat="false" ht="15.7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</row>
    <row r="441" customFormat="false" ht="15.7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</row>
    <row r="442" customFormat="false" ht="15.7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</row>
    <row r="443" customFormat="false" ht="15.7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</row>
    <row r="444" customFormat="false" ht="15.7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</row>
    <row r="445" customFormat="false" ht="15.7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</row>
    <row r="446" customFormat="false" ht="15.7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</row>
    <row r="447" customFormat="false" ht="15.7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</row>
    <row r="448" customFormat="false" ht="15.7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</row>
    <row r="449" customFormat="false" ht="15.7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</row>
    <row r="450" customFormat="false" ht="15.7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</row>
    <row r="451" customFormat="false" ht="15.7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</row>
    <row r="452" customFormat="false" ht="15.7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</row>
    <row r="453" customFormat="false" ht="15.7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</row>
    <row r="454" customFormat="false" ht="15.7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</row>
    <row r="455" customFormat="false" ht="15.7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</row>
    <row r="456" customFormat="false" ht="15.7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</row>
    <row r="457" customFormat="false" ht="15.7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</row>
    <row r="458" customFormat="false" ht="15.7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</row>
    <row r="459" customFormat="false" ht="15.7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</row>
    <row r="460" customFormat="false" ht="15.7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</row>
    <row r="461" customFormat="false" ht="15.7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</row>
    <row r="462" customFormat="false" ht="15.7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</row>
    <row r="463" customFormat="false" ht="15.7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</row>
    <row r="464" customFormat="false" ht="15.7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</row>
    <row r="465" customFormat="false" ht="15.7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</row>
    <row r="466" customFormat="false" ht="15.7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</row>
    <row r="467" customFormat="false" ht="15.7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</row>
    <row r="468" customFormat="false" ht="15.7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</row>
    <row r="469" customFormat="false" ht="15.7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</row>
    <row r="470" customFormat="false" ht="15.7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</row>
    <row r="471" customFormat="false" ht="15.7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</row>
    <row r="472" customFormat="false" ht="15.7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</row>
    <row r="473" customFormat="false" ht="15.7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</row>
    <row r="474" customFormat="false" ht="15.7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</row>
    <row r="475" customFormat="false" ht="15.7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</row>
    <row r="476" customFormat="false" ht="15.7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</row>
    <row r="477" customFormat="false" ht="15.7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</row>
    <row r="478" customFormat="false" ht="15.7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</row>
    <row r="479" customFormat="false" ht="15.7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</row>
    <row r="480" customFormat="false" ht="15.7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</row>
    <row r="481" customFormat="false" ht="15.7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</row>
    <row r="482" customFormat="false" ht="15.7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</row>
    <row r="483" customFormat="false" ht="15.7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</row>
    <row r="484" customFormat="false" ht="15.7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</row>
    <row r="485" customFormat="false" ht="15.7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</row>
    <row r="486" customFormat="false" ht="15.7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</row>
    <row r="487" customFormat="false" ht="15.7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</row>
    <row r="488" customFormat="false" ht="15.7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</row>
    <row r="489" customFormat="false" ht="15.7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</row>
    <row r="490" customFormat="false" ht="15.7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</row>
    <row r="491" customFormat="false" ht="15.7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</row>
    <row r="492" customFormat="false" ht="15.7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</row>
    <row r="493" customFormat="false" ht="15.7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</row>
    <row r="494" customFormat="false" ht="15.7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</row>
    <row r="495" customFormat="false" ht="15.7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</row>
    <row r="496" customFormat="false" ht="15.7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</row>
    <row r="497" customFormat="false" ht="15.7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</row>
    <row r="498" customFormat="false" ht="15.7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</row>
    <row r="499" customFormat="false" ht="15.7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</row>
    <row r="500" customFormat="false" ht="15.7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</row>
    <row r="501" customFormat="false" ht="15.7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</row>
    <row r="502" customFormat="false" ht="15.7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</row>
    <row r="503" customFormat="false" ht="15.7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</row>
    <row r="504" customFormat="false" ht="15.7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</row>
    <row r="505" customFormat="false" ht="15.7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</row>
    <row r="506" customFormat="false" ht="15.7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</row>
    <row r="507" customFormat="false" ht="15.7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</row>
    <row r="508" customFormat="false" ht="15.7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</row>
    <row r="509" customFormat="false" ht="15.7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</row>
    <row r="510" customFormat="false" ht="15.7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</row>
    <row r="511" customFormat="false" ht="15.7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</row>
    <row r="512" customFormat="false" ht="15.7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</row>
    <row r="513" customFormat="false" ht="15.7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</row>
    <row r="514" customFormat="false" ht="15.7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</row>
    <row r="515" customFormat="false" ht="15.7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</row>
    <row r="516" customFormat="false" ht="15.7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</row>
    <row r="517" customFormat="false" ht="15.7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</row>
    <row r="518" customFormat="false" ht="15.7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</row>
    <row r="519" customFormat="false" ht="15.7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</row>
    <row r="520" customFormat="false" ht="15.7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</row>
    <row r="521" customFormat="false" ht="15.7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</row>
    <row r="522" customFormat="false" ht="15.7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</row>
    <row r="523" customFormat="false" ht="15.7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</row>
    <row r="524" customFormat="false" ht="15.7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</row>
    <row r="525" customFormat="false" ht="15.7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</row>
    <row r="526" customFormat="false" ht="15.7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</row>
    <row r="527" customFormat="false" ht="15.7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</row>
    <row r="528" customFormat="false" ht="15.7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</row>
    <row r="529" customFormat="false" ht="15.7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</row>
    <row r="530" customFormat="false" ht="15.7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</row>
    <row r="531" customFormat="false" ht="15.7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</row>
    <row r="532" customFormat="false" ht="15.7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</row>
    <row r="533" customFormat="false" ht="15.7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</row>
    <row r="534" customFormat="false" ht="15.7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</row>
    <row r="535" customFormat="false" ht="15.7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</row>
    <row r="536" customFormat="false" ht="15.7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</row>
    <row r="537" customFormat="false" ht="15.7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</row>
    <row r="538" customFormat="false" ht="15.7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</row>
    <row r="539" customFormat="false" ht="15.7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</row>
    <row r="540" customFormat="false" ht="15.7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</row>
    <row r="541" customFormat="false" ht="15.7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</row>
    <row r="542" customFormat="false" ht="15.7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</row>
    <row r="543" customFormat="false" ht="15.7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</row>
    <row r="544" customFormat="false" ht="15.7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</row>
    <row r="545" customFormat="false" ht="15.7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</row>
    <row r="546" customFormat="false" ht="15.7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</row>
    <row r="547" customFormat="false" ht="15.7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</row>
    <row r="548" customFormat="false" ht="15.7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</row>
    <row r="549" customFormat="false" ht="15.7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</row>
    <row r="550" customFormat="false" ht="15.7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</row>
    <row r="551" customFormat="false" ht="15.7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</row>
    <row r="552" customFormat="false" ht="15.7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</row>
    <row r="553" customFormat="false" ht="15.7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</row>
    <row r="554" customFormat="false" ht="15.7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</row>
    <row r="555" customFormat="false" ht="15.7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</row>
    <row r="556" customFormat="false" ht="15.7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</row>
    <row r="557" customFormat="false" ht="15.7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</row>
    <row r="558" customFormat="false" ht="15.7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</row>
    <row r="559" customFormat="false" ht="15.7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</row>
    <row r="560" customFormat="false" ht="15.7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</row>
    <row r="561" customFormat="false" ht="15.7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</row>
    <row r="562" customFormat="false" ht="15.7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</row>
    <row r="563" customFormat="false" ht="15.7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</row>
    <row r="564" customFormat="false" ht="15.7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</row>
    <row r="565" customFormat="false" ht="15.7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</row>
    <row r="566" customFormat="false" ht="15.7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</row>
    <row r="567" customFormat="false" ht="15.7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</row>
    <row r="568" customFormat="false" ht="15.7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</row>
    <row r="569" customFormat="false" ht="15.7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</row>
    <row r="570" customFormat="false" ht="15.7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</row>
    <row r="571" customFormat="false" ht="15.7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</row>
    <row r="572" customFormat="false" ht="15.7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</row>
    <row r="573" customFormat="false" ht="15.7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</row>
    <row r="574" customFormat="false" ht="15.7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</row>
    <row r="575" customFormat="false" ht="15.7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</row>
    <row r="576" customFormat="false" ht="15.7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</row>
    <row r="577" customFormat="false" ht="15.7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</row>
    <row r="578" customFormat="false" ht="15.7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</row>
    <row r="579" customFormat="false" ht="15.7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</row>
    <row r="580" customFormat="false" ht="15.7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</row>
    <row r="581" customFormat="false" ht="15.7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</row>
    <row r="582" customFormat="false" ht="15.7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</row>
    <row r="583" customFormat="false" ht="15.7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</row>
    <row r="584" customFormat="false" ht="15.7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</row>
    <row r="585" customFormat="false" ht="15.7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</row>
    <row r="586" customFormat="false" ht="15.7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</row>
    <row r="587" customFormat="false" ht="15.7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</row>
    <row r="588" customFormat="false" ht="15.7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</row>
    <row r="589" customFormat="false" ht="15.7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</row>
    <row r="590" customFormat="false" ht="15.7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</row>
    <row r="591" customFormat="false" ht="15.7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</row>
    <row r="592" customFormat="false" ht="15.7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</row>
    <row r="593" customFormat="false" ht="15.7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</row>
    <row r="594" customFormat="false" ht="15.7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</row>
    <row r="595" customFormat="false" ht="15.7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</row>
    <row r="596" customFormat="false" ht="15.7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</row>
    <row r="597" customFormat="false" ht="15.7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</row>
    <row r="598" customFormat="false" ht="15.7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</row>
    <row r="599" customFormat="false" ht="15.7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</row>
    <row r="600" customFormat="false" ht="15.7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</row>
    <row r="601" customFormat="false" ht="15.7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</row>
    <row r="602" customFormat="false" ht="15.7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</row>
    <row r="603" customFormat="false" ht="15.7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</row>
    <row r="604" customFormat="false" ht="15.7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</row>
    <row r="605" customFormat="false" ht="15.7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</row>
    <row r="606" customFormat="false" ht="15.7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</row>
    <row r="607" customFormat="false" ht="15.7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</row>
    <row r="608" customFormat="false" ht="15.7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</row>
    <row r="609" customFormat="false" ht="15.7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</row>
    <row r="610" customFormat="false" ht="15.7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</row>
    <row r="611" customFormat="false" ht="15.7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</row>
    <row r="612" customFormat="false" ht="15.7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</row>
    <row r="613" customFormat="false" ht="15.7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</row>
    <row r="614" customFormat="false" ht="15.7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</row>
    <row r="615" customFormat="false" ht="15.7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</row>
    <row r="616" customFormat="false" ht="15.7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</row>
    <row r="617" customFormat="false" ht="15.7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</row>
    <row r="618" customFormat="false" ht="15.7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</row>
    <row r="619" customFormat="false" ht="15.7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</row>
    <row r="620" customFormat="false" ht="15.7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</row>
    <row r="621" customFormat="false" ht="15.7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</row>
    <row r="622" customFormat="false" ht="15.7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</row>
    <row r="623" customFormat="false" ht="15.7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</row>
    <row r="624" customFormat="false" ht="15.7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</row>
    <row r="625" customFormat="false" ht="15.7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</row>
    <row r="626" customFormat="false" ht="15.7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</row>
    <row r="627" customFormat="false" ht="15.7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</row>
    <row r="628" customFormat="false" ht="15.7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</row>
    <row r="629" customFormat="false" ht="15.7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</row>
    <row r="630" customFormat="false" ht="15.7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</row>
    <row r="631" customFormat="false" ht="15.7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</row>
    <row r="632" customFormat="false" ht="15.7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</row>
    <row r="633" customFormat="false" ht="15.7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</row>
    <row r="634" customFormat="false" ht="15.7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</row>
    <row r="635" customFormat="false" ht="15.7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</row>
    <row r="636" customFormat="false" ht="15.7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</row>
    <row r="637" customFormat="false" ht="15.7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</row>
    <row r="638" customFormat="false" ht="15.7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</row>
    <row r="639" customFormat="false" ht="15.7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</row>
    <row r="640" customFormat="false" ht="15.7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</row>
    <row r="641" customFormat="false" ht="15.7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</row>
    <row r="642" customFormat="false" ht="15.7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</row>
    <row r="643" customFormat="false" ht="15.7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</row>
    <row r="644" customFormat="false" ht="15.7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</row>
    <row r="645" customFormat="false" ht="15.7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</row>
    <row r="646" customFormat="false" ht="15.7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</row>
    <row r="647" customFormat="false" ht="15.7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</row>
    <row r="648" customFormat="false" ht="15.7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</row>
    <row r="649" customFormat="false" ht="15.7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</row>
    <row r="650" customFormat="false" ht="15.7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</row>
    <row r="651" customFormat="false" ht="15.7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</row>
    <row r="652" customFormat="false" ht="15.7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</row>
    <row r="653" customFormat="false" ht="15.7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</row>
    <row r="654" customFormat="false" ht="15.7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</row>
    <row r="655" customFormat="false" ht="15.7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</row>
    <row r="656" customFormat="false" ht="15.7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</row>
    <row r="657" customFormat="false" ht="15.7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</row>
    <row r="658" customFormat="false" ht="15.7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</row>
    <row r="659" customFormat="false" ht="15.7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</row>
    <row r="660" customFormat="false" ht="15.7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</row>
    <row r="661" customFormat="false" ht="15.7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</row>
    <row r="662" customFormat="false" ht="15.7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</row>
    <row r="663" customFormat="false" ht="15.7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</row>
    <row r="664" customFormat="false" ht="15.7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</row>
    <row r="665" customFormat="false" ht="15.7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</row>
    <row r="666" customFormat="false" ht="15.7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</row>
    <row r="667" customFormat="false" ht="15.7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</row>
    <row r="668" customFormat="false" ht="15.7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</row>
    <row r="669" customFormat="false" ht="15.7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</row>
    <row r="670" customFormat="false" ht="15.7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</row>
    <row r="671" customFormat="false" ht="15.7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</row>
    <row r="672" customFormat="false" ht="15.7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</row>
    <row r="673" customFormat="false" ht="15.7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</row>
    <row r="674" customFormat="false" ht="15.7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</row>
    <row r="675" customFormat="false" ht="15.7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</row>
    <row r="676" customFormat="false" ht="15.7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</row>
    <row r="677" customFormat="false" ht="15.7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</row>
    <row r="678" customFormat="false" ht="15.7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</row>
    <row r="679" customFormat="false" ht="15.7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</row>
    <row r="680" customFormat="false" ht="15.7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</row>
    <row r="681" customFormat="false" ht="15.7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</row>
    <row r="682" customFormat="false" ht="15.7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</row>
    <row r="683" customFormat="false" ht="15.7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</row>
    <row r="684" customFormat="false" ht="15.7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</row>
    <row r="685" customFormat="false" ht="15.7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</row>
    <row r="686" customFormat="false" ht="15.7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</row>
    <row r="687" customFormat="false" ht="15.7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</row>
    <row r="688" customFormat="false" ht="15.7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</row>
    <row r="689" customFormat="false" ht="15.7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</row>
    <row r="690" customFormat="false" ht="15.7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</row>
    <row r="691" customFormat="false" ht="15.7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</row>
    <row r="692" customFormat="false" ht="15.7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</row>
    <row r="693" customFormat="false" ht="15.7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</row>
    <row r="694" customFormat="false" ht="15.7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</row>
    <row r="695" customFormat="false" ht="15.7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</row>
    <row r="696" customFormat="false" ht="15.7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</row>
    <row r="697" customFormat="false" ht="15.7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</row>
    <row r="698" customFormat="false" ht="15.7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</row>
    <row r="699" customFormat="false" ht="15.7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</row>
    <row r="700" customFormat="false" ht="15.7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</row>
    <row r="701" customFormat="false" ht="15.7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</row>
    <row r="702" customFormat="false" ht="15.7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</row>
    <row r="703" customFormat="false" ht="15.7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</row>
    <row r="704" customFormat="false" ht="15.7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</row>
    <row r="705" customFormat="false" ht="15.7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</row>
    <row r="706" customFormat="false" ht="15.7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</row>
    <row r="707" customFormat="false" ht="15.7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</row>
    <row r="708" customFormat="false" ht="15.7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</row>
    <row r="709" customFormat="false" ht="15.7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</row>
    <row r="710" customFormat="false" ht="15.7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</row>
    <row r="711" customFormat="false" ht="15.7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</row>
    <row r="712" customFormat="false" ht="15.7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</row>
    <row r="713" customFormat="false" ht="15.7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</row>
    <row r="714" customFormat="false" ht="15.7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</row>
    <row r="715" customFormat="false" ht="15.7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</row>
    <row r="716" customFormat="false" ht="15.7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</row>
    <row r="717" customFormat="false" ht="15.7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</row>
    <row r="718" customFormat="false" ht="15.7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</row>
    <row r="719" customFormat="false" ht="15.7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</row>
    <row r="720" customFormat="false" ht="15.7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</row>
    <row r="721" customFormat="false" ht="15.7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</row>
    <row r="722" customFormat="false" ht="15.7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</row>
    <row r="723" customFormat="false" ht="15.7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</row>
    <row r="724" customFormat="false" ht="15.7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</row>
    <row r="725" customFormat="false" ht="15.7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</row>
    <row r="726" customFormat="false" ht="15.7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</row>
    <row r="727" customFormat="false" ht="15.7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</row>
    <row r="728" customFormat="false" ht="15.7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</row>
    <row r="729" customFormat="false" ht="15.7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</row>
    <row r="730" customFormat="false" ht="15.7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</row>
    <row r="731" customFormat="false" ht="15.7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</row>
    <row r="732" customFormat="false" ht="15.7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</row>
    <row r="733" customFormat="false" ht="15.7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</row>
    <row r="734" customFormat="false" ht="15.7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</row>
    <row r="735" customFormat="false" ht="15.7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</row>
    <row r="736" customFormat="false" ht="15.7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</row>
    <row r="737" customFormat="false" ht="15.7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</row>
    <row r="738" customFormat="false" ht="15.7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</row>
    <row r="739" customFormat="false" ht="15.7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</row>
    <row r="740" customFormat="false" ht="15.7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</row>
    <row r="741" customFormat="false" ht="15.7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</row>
    <row r="742" customFormat="false" ht="15.7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</row>
    <row r="743" customFormat="false" ht="15.7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</row>
    <row r="744" customFormat="false" ht="15.7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</row>
    <row r="745" customFormat="false" ht="15.7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</row>
    <row r="746" customFormat="false" ht="15.7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</row>
    <row r="747" customFormat="false" ht="15.7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</row>
    <row r="748" customFormat="false" ht="15.7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</row>
    <row r="749" customFormat="false" ht="15.7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</row>
    <row r="750" customFormat="false" ht="15.7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</row>
    <row r="751" customFormat="false" ht="15.7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</row>
    <row r="752" customFormat="false" ht="15.7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</row>
    <row r="753" customFormat="false" ht="15.7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</row>
    <row r="754" customFormat="false" ht="15.7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</row>
    <row r="755" customFormat="false" ht="15.7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</row>
    <row r="756" customFormat="false" ht="15.7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</row>
    <row r="757" customFormat="false" ht="15.7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</row>
    <row r="758" customFormat="false" ht="15.7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</row>
    <row r="759" customFormat="false" ht="15.7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</row>
    <row r="760" customFormat="false" ht="15.7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</row>
    <row r="761" customFormat="false" ht="15.7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</row>
    <row r="762" customFormat="false" ht="15.7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</row>
    <row r="763" customFormat="false" ht="15.7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</row>
    <row r="764" customFormat="false" ht="15.7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</row>
    <row r="765" customFormat="false" ht="15.7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</row>
    <row r="766" customFormat="false" ht="15.7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</row>
    <row r="767" customFormat="false" ht="15.7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</row>
    <row r="768" customFormat="false" ht="15.7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</row>
    <row r="769" customFormat="false" ht="15.7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</row>
    <row r="770" customFormat="false" ht="15.7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</row>
    <row r="771" customFormat="false" ht="15.7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</row>
    <row r="772" customFormat="false" ht="15.7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</row>
    <row r="773" customFormat="false" ht="15.7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</row>
    <row r="774" customFormat="false" ht="15.7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</row>
    <row r="775" customFormat="false" ht="15.7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</row>
    <row r="776" customFormat="false" ht="15.7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</row>
    <row r="777" customFormat="false" ht="15.7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</row>
    <row r="778" customFormat="false" ht="15.7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</row>
    <row r="779" customFormat="false" ht="15.7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</row>
    <row r="780" customFormat="false" ht="15.7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</row>
    <row r="781" customFormat="false" ht="15.7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</row>
    <row r="782" customFormat="false" ht="15.7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</row>
    <row r="783" customFormat="false" ht="15.7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</row>
    <row r="784" customFormat="false" ht="15.7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</row>
    <row r="785" customFormat="false" ht="15.7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</row>
    <row r="786" customFormat="false" ht="15.7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</row>
    <row r="787" customFormat="false" ht="15.7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</row>
    <row r="788" customFormat="false" ht="15.7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</row>
    <row r="789" customFormat="false" ht="15.7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</row>
    <row r="790" customFormat="false" ht="15.7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</row>
    <row r="791" customFormat="false" ht="15.7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</row>
    <row r="792" customFormat="false" ht="15.7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</row>
    <row r="793" customFormat="false" ht="15.7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</row>
    <row r="794" customFormat="false" ht="15.7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</row>
    <row r="795" customFormat="false" ht="15.7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</row>
    <row r="796" customFormat="false" ht="15.7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</row>
    <row r="797" customFormat="false" ht="15.7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</row>
    <row r="798" customFormat="false" ht="15.7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</row>
    <row r="799" customFormat="false" ht="15.7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</row>
    <row r="800" customFormat="false" ht="15.7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</row>
    <row r="801" customFormat="false" ht="15.7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</row>
    <row r="802" customFormat="false" ht="15.7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</row>
    <row r="803" customFormat="false" ht="15.7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</row>
    <row r="804" customFormat="false" ht="15.7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</row>
    <row r="805" customFormat="false" ht="15.7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</row>
    <row r="806" customFormat="false" ht="15.7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</row>
    <row r="807" customFormat="false" ht="15.7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</row>
    <row r="808" customFormat="false" ht="15.7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</row>
    <row r="809" customFormat="false" ht="15.7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</row>
    <row r="810" customFormat="false" ht="15.7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</row>
    <row r="811" customFormat="false" ht="15.7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</row>
    <row r="812" customFormat="false" ht="15.7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</row>
    <row r="813" customFormat="false" ht="15.7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</row>
    <row r="814" customFormat="false" ht="15.7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</row>
    <row r="815" customFormat="false" ht="15.7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</row>
    <row r="816" customFormat="false" ht="15.7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</row>
    <row r="817" customFormat="false" ht="15.7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</row>
    <row r="818" customFormat="false" ht="15.7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</row>
    <row r="819" customFormat="false" ht="15.7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</row>
    <row r="820" customFormat="false" ht="15.7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</row>
    <row r="821" customFormat="false" ht="15.7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</row>
    <row r="822" customFormat="false" ht="15.7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</row>
    <row r="823" customFormat="false" ht="15.7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</row>
    <row r="824" customFormat="false" ht="15.7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</row>
    <row r="825" customFormat="false" ht="15.7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</row>
    <row r="826" customFormat="false" ht="15.7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</row>
    <row r="827" customFormat="false" ht="15.7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</row>
    <row r="828" customFormat="false" ht="15.7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</row>
    <row r="829" customFormat="false" ht="15.7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</row>
    <row r="830" customFormat="false" ht="15.7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</row>
    <row r="831" customFormat="false" ht="15.7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</row>
    <row r="832" customFormat="false" ht="15.7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</row>
    <row r="833" customFormat="false" ht="15.7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</row>
    <row r="834" customFormat="false" ht="15.7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</row>
    <row r="835" customFormat="false" ht="15.7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</row>
    <row r="836" customFormat="false" ht="15.7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</row>
    <row r="837" customFormat="false" ht="15.7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</row>
    <row r="838" customFormat="false" ht="15.7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</row>
    <row r="839" customFormat="false" ht="15.7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</row>
    <row r="840" customFormat="false" ht="15.7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</row>
    <row r="841" customFormat="false" ht="15.7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</row>
    <row r="842" customFormat="false" ht="15.7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</row>
    <row r="843" customFormat="false" ht="15.7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</row>
    <row r="844" customFormat="false" ht="15.7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</row>
    <row r="845" customFormat="false" ht="15.7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</row>
    <row r="846" customFormat="false" ht="15.7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</row>
    <row r="847" customFormat="false" ht="15.7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</row>
    <row r="848" customFormat="false" ht="15.7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</row>
    <row r="849" customFormat="false" ht="15.7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</row>
    <row r="850" customFormat="false" ht="15.7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</row>
    <row r="851" customFormat="false" ht="15.7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</row>
    <row r="852" customFormat="false" ht="15.7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</row>
    <row r="853" customFormat="false" ht="15.7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</row>
    <row r="854" customFormat="false" ht="15.7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</row>
    <row r="855" customFormat="false" ht="15.7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</row>
    <row r="856" customFormat="false" ht="15.7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</row>
    <row r="857" customFormat="false" ht="15.7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</row>
    <row r="858" customFormat="false" ht="15.7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</row>
    <row r="859" customFormat="false" ht="15.7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</row>
    <row r="860" customFormat="false" ht="15.7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</row>
    <row r="861" customFormat="false" ht="15.7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</row>
    <row r="862" customFormat="false" ht="15.7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</row>
    <row r="863" customFormat="false" ht="15.7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</row>
    <row r="864" customFormat="false" ht="15.7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</row>
    <row r="865" customFormat="false" ht="15.7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</row>
    <row r="866" customFormat="false" ht="15.7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</row>
    <row r="867" customFormat="false" ht="15.7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</row>
    <row r="868" customFormat="false" ht="15.7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</row>
    <row r="869" customFormat="false" ht="15.7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</row>
    <row r="870" customFormat="false" ht="15.7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</row>
    <row r="871" customFormat="false" ht="15.7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</row>
    <row r="872" customFormat="false" ht="15.7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</row>
    <row r="873" customFormat="false" ht="15.7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</row>
    <row r="874" customFormat="false" ht="15.7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</row>
    <row r="875" customFormat="false" ht="15.7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</row>
    <row r="876" customFormat="false" ht="15.7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</row>
    <row r="877" customFormat="false" ht="15.7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</row>
    <row r="878" customFormat="false" ht="15.7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</row>
    <row r="879" customFormat="false" ht="15.7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</row>
    <row r="880" customFormat="false" ht="15.7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</row>
    <row r="881" customFormat="false" ht="15.7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</row>
    <row r="882" customFormat="false" ht="15.7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</row>
    <row r="883" customFormat="false" ht="15.7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</row>
    <row r="884" customFormat="false" ht="15.7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</row>
    <row r="885" customFormat="false" ht="15.7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</row>
    <row r="886" customFormat="false" ht="15.7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</row>
    <row r="887" customFormat="false" ht="15.7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</row>
    <row r="888" customFormat="false" ht="15.7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</row>
    <row r="889" customFormat="false" ht="15.7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</row>
    <row r="890" customFormat="false" ht="15.7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</row>
    <row r="891" customFormat="false" ht="15.7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</row>
    <row r="892" customFormat="false" ht="15.7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</row>
    <row r="893" customFormat="false" ht="15.7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</row>
    <row r="894" customFormat="false" ht="15.7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</row>
    <row r="895" customFormat="false" ht="15.7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</row>
    <row r="896" customFormat="false" ht="15.7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</row>
    <row r="897" customFormat="false" ht="15.7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</row>
    <row r="898" customFormat="false" ht="15.7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</row>
    <row r="899" customFormat="false" ht="15.7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</row>
    <row r="900" customFormat="false" ht="15.7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</row>
    <row r="901" customFormat="false" ht="15.7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</row>
    <row r="902" customFormat="false" ht="15.7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</row>
    <row r="903" customFormat="false" ht="15.7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</row>
    <row r="904" customFormat="false" ht="15.7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</row>
    <row r="905" customFormat="false" ht="15.7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</row>
    <row r="906" customFormat="false" ht="15.7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</row>
    <row r="907" customFormat="false" ht="15.7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</row>
    <row r="908" customFormat="false" ht="15.7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</row>
    <row r="909" customFormat="false" ht="15.7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</row>
    <row r="910" customFormat="false" ht="15.7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</row>
    <row r="911" customFormat="false" ht="15.7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</row>
    <row r="912" customFormat="false" ht="15.7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</row>
    <row r="913" customFormat="false" ht="15.7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</row>
    <row r="914" customFormat="false" ht="15.7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</row>
    <row r="915" customFormat="false" ht="15.7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</row>
    <row r="916" customFormat="false" ht="15.7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</row>
    <row r="917" customFormat="false" ht="15.7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</row>
    <row r="918" customFormat="false" ht="15.7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</row>
    <row r="919" customFormat="false" ht="15.7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</row>
    <row r="920" customFormat="false" ht="15.7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</row>
    <row r="921" customFormat="false" ht="15.7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</row>
    <row r="922" customFormat="false" ht="15.7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</row>
    <row r="923" customFormat="false" ht="15.7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</row>
    <row r="924" customFormat="false" ht="15.7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</row>
    <row r="925" customFormat="false" ht="15.7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</row>
    <row r="926" customFormat="false" ht="15.7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</row>
    <row r="927" customFormat="false" ht="15.7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</row>
    <row r="928" customFormat="false" ht="15.7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</row>
    <row r="929" customFormat="false" ht="15.7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</row>
    <row r="930" customFormat="false" ht="15.7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</row>
    <row r="931" customFormat="false" ht="15.7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</row>
    <row r="932" customFormat="false" ht="15.7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</row>
    <row r="933" customFormat="false" ht="15.7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</row>
    <row r="934" customFormat="false" ht="15.7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</row>
    <row r="935" customFormat="false" ht="15.7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</row>
    <row r="936" customFormat="false" ht="15.7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</row>
    <row r="937" customFormat="false" ht="15.7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</row>
    <row r="938" customFormat="false" ht="15.7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</row>
    <row r="939" customFormat="false" ht="15.7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</row>
    <row r="940" customFormat="false" ht="15.7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</row>
    <row r="941" customFormat="false" ht="15.7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</row>
    <row r="942" customFormat="false" ht="15.7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</row>
    <row r="943" customFormat="false" ht="15.7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</row>
    <row r="944" customFormat="false" ht="15.7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</row>
    <row r="945" customFormat="false" ht="15.7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</row>
    <row r="946" customFormat="false" ht="15.7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</row>
    <row r="947" customFormat="false" ht="15.7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</row>
    <row r="948" customFormat="false" ht="15.7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</row>
    <row r="949" customFormat="false" ht="15.7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</row>
    <row r="950" customFormat="false" ht="15.7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</row>
    <row r="951" customFormat="false" ht="15.7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</row>
    <row r="952" customFormat="false" ht="15.7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</row>
    <row r="953" customFormat="false" ht="15.7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</row>
    <row r="954" customFormat="false" ht="15.7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</row>
    <row r="955" customFormat="false" ht="15.7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</row>
    <row r="956" customFormat="false" ht="15.7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</row>
    <row r="957" customFormat="false" ht="15.7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</row>
    <row r="958" customFormat="false" ht="15.7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</row>
    <row r="959" customFormat="false" ht="15.7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</row>
    <row r="960" customFormat="false" ht="15.7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</row>
    <row r="961" customFormat="false" ht="15.7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</row>
    <row r="962" customFormat="false" ht="15.7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</row>
    <row r="963" customFormat="false" ht="15.7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</row>
    <row r="964" customFormat="false" ht="15.7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</row>
    <row r="965" customFormat="false" ht="15.7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</row>
    <row r="966" customFormat="false" ht="15.7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</row>
    <row r="967" customFormat="false" ht="15.7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</row>
    <row r="968" customFormat="false" ht="15.7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</row>
    <row r="969" customFormat="false" ht="15.7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</row>
    <row r="970" customFormat="false" ht="15.7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</row>
    <row r="971" customFormat="false" ht="15.7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</row>
    <row r="972" customFormat="false" ht="15.7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</row>
    <row r="973" customFormat="false" ht="15.7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</row>
    <row r="974" customFormat="false" ht="15.7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</row>
    <row r="975" customFormat="false" ht="15.7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</row>
    <row r="976" customFormat="false" ht="15.7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</row>
    <row r="977" customFormat="false" ht="15.7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</row>
    <row r="978" customFormat="false" ht="15.7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</row>
    <row r="979" customFormat="false" ht="15.7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</row>
    <row r="980" customFormat="false" ht="15.7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</row>
    <row r="981" customFormat="false" ht="15.7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</row>
    <row r="982" customFormat="false" ht="15.7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</row>
    <row r="983" customFormat="false" ht="15.7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</row>
    <row r="984" customFormat="false" ht="15.7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</row>
    <row r="985" customFormat="false" ht="15.7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</row>
    <row r="986" customFormat="false" ht="15.7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</row>
    <row r="987" customFormat="false" ht="15.7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</row>
    <row r="988" customFormat="false" ht="15.7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</row>
    <row r="989" customFormat="false" ht="15.7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</row>
    <row r="990" customFormat="false" ht="15.7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</row>
    <row r="991" customFormat="false" ht="15.7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</row>
    <row r="992" customFormat="false" ht="15.7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</row>
    <row r="993" customFormat="false" ht="15.7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</row>
    <row r="994" customFormat="false" ht="15.7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</row>
    <row r="995" customFormat="false" ht="15.7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</row>
    <row r="996" customFormat="false" ht="15.7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</row>
    <row r="997" customFormat="false" ht="15.75" hidden="false" customHeight="true" outlineLevel="0" collapsed="false">
      <c r="A997" s="2"/>
      <c r="B997" s="2"/>
      <c r="C997" s="2"/>
      <c r="D997" s="2"/>
      <c r="E997" s="2"/>
      <c r="F997" s="2"/>
      <c r="G997" s="2"/>
      <c r="H997" s="2"/>
    </row>
    <row r="998" customFormat="false" ht="15.75" hidden="false" customHeight="true" outlineLevel="0" collapsed="false">
      <c r="A998" s="2"/>
      <c r="B998" s="2"/>
      <c r="C998" s="2"/>
      <c r="D998" s="2"/>
      <c r="E998" s="2"/>
      <c r="F998" s="2"/>
      <c r="G998" s="2"/>
      <c r="H998" s="2"/>
    </row>
    <row r="999" customFormat="false" ht="15.75" hidden="false" customHeight="true" outlineLevel="0" collapsed="false">
      <c r="A999" s="2"/>
      <c r="B999" s="2"/>
      <c r="C999" s="2"/>
      <c r="D999" s="2"/>
      <c r="E999" s="2"/>
      <c r="F999" s="2"/>
      <c r="G999" s="2"/>
      <c r="H999" s="2"/>
    </row>
    <row r="1000" customFormat="false" ht="15.75" hidden="false" customHeight="true" outlineLevel="0" collapsed="false">
      <c r="A1000" s="2"/>
      <c r="B1000" s="2"/>
      <c r="C1000" s="2"/>
      <c r="D1000" s="2"/>
      <c r="E1000" s="2"/>
      <c r="F1000" s="2"/>
      <c r="G1000" s="2"/>
      <c r="H1000" s="2"/>
    </row>
  </sheetData>
  <mergeCells count="22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1:G31"/>
    <mergeCell ref="B32:H32"/>
    <mergeCell ref="D34:H34"/>
    <mergeCell ref="B39:G39"/>
    <mergeCell ref="B40:G40"/>
    <mergeCell ref="B41:G41"/>
    <mergeCell ref="B43:G43"/>
    <mergeCell ref="B44:G44"/>
    <mergeCell ref="B45:G45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9.7" hidden="false" customHeight="false" outlineLevel="0" collapsed="false">
      <c r="A2" s="2"/>
      <c r="B2" s="3" t="s">
        <v>862</v>
      </c>
      <c r="C2" s="3"/>
      <c r="D2" s="3"/>
      <c r="E2" s="3"/>
      <c r="F2" s="3"/>
      <c r="G2" s="3"/>
      <c r="H2" s="3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2"/>
      <c r="B4" s="4" t="s">
        <v>785</v>
      </c>
      <c r="C4" s="14" t="s">
        <v>859</v>
      </c>
      <c r="D4" s="14"/>
      <c r="E4" s="14"/>
      <c r="F4" s="14"/>
      <c r="G4" s="14"/>
      <c r="H4" s="14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15" hidden="false" customHeight="false" outlineLevel="0" collapsed="false">
      <c r="A5" s="2"/>
      <c r="B5" s="4" t="s">
        <v>787</v>
      </c>
      <c r="C5" s="14" t="s">
        <v>863</v>
      </c>
      <c r="D5" s="14"/>
      <c r="E5" s="14"/>
      <c r="F5" s="14"/>
      <c r="G5" s="14"/>
      <c r="H5" s="14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15" hidden="false" customHeight="false" outlineLevel="0" collapsed="false">
      <c r="A6" s="2"/>
      <c r="B6" s="4" t="s">
        <v>18</v>
      </c>
      <c r="C6" s="14" t="s">
        <v>826</v>
      </c>
      <c r="D6" s="14"/>
      <c r="E6" s="14"/>
      <c r="F6" s="14"/>
      <c r="G6" s="14"/>
      <c r="H6" s="14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15" hidden="false" customHeight="false" outlineLevel="0" collapsed="false">
      <c r="A7" s="2"/>
      <c r="B7" s="4" t="s">
        <v>790</v>
      </c>
      <c r="C7" s="14" t="s">
        <v>861</v>
      </c>
      <c r="D7" s="14"/>
      <c r="E7" s="14"/>
      <c r="F7" s="14"/>
      <c r="G7" s="14"/>
      <c r="H7" s="14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15" hidden="false" customHeight="false" outlineLevel="0" collapsed="false">
      <c r="A8" s="2"/>
      <c r="B8" s="4" t="s">
        <v>792</v>
      </c>
      <c r="C8" s="32" t="n">
        <f aca="false">RINGKASAN!$K$24</f>
        <v>104791913</v>
      </c>
      <c r="D8" s="32"/>
      <c r="E8" s="32"/>
      <c r="F8" s="32"/>
      <c r="G8" s="32"/>
      <c r="H8" s="3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15" hidden="false" customHeight="false" outlineLevel="0" collapsed="false">
      <c r="A9" s="2"/>
      <c r="B9" s="4" t="s">
        <v>81</v>
      </c>
      <c r="C9" s="14" t="s">
        <v>793</v>
      </c>
      <c r="D9" s="14"/>
      <c r="E9" s="14"/>
      <c r="F9" s="14"/>
      <c r="G9" s="14"/>
      <c r="H9" s="14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15" hidden="false" customHeight="false" outlineLevel="0" collapsed="false">
      <c r="A10" s="2"/>
      <c r="B10" s="4" t="s">
        <v>9</v>
      </c>
      <c r="C10" s="14" t="s">
        <v>10</v>
      </c>
      <c r="D10" s="14"/>
      <c r="E10" s="14"/>
      <c r="F10" s="14"/>
      <c r="G10" s="14"/>
      <c r="H10" s="14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21.75" hidden="false" customHeight="true" outlineLevel="0" collapsed="false">
      <c r="A12" s="2"/>
      <c r="B12" s="15" t="s">
        <v>794</v>
      </c>
      <c r="C12" s="15"/>
      <c r="D12" s="15"/>
      <c r="E12" s="15"/>
      <c r="F12" s="15"/>
      <c r="G12" s="15"/>
      <c r="H12" s="15"/>
    </row>
    <row r="13" customFormat="false" ht="27.75" hidden="false" customHeight="true" outlineLevel="0" collapsed="false">
      <c r="A13" s="2"/>
      <c r="B13" s="7" t="s">
        <v>16</v>
      </c>
      <c r="C13" s="7" t="s">
        <v>795</v>
      </c>
      <c r="D13" s="7" t="s">
        <v>796</v>
      </c>
      <c r="E13" s="7" t="s">
        <v>797</v>
      </c>
      <c r="F13" s="7" t="s">
        <v>89</v>
      </c>
      <c r="G13" s="7" t="s">
        <v>90</v>
      </c>
      <c r="H13" s="7" t="s">
        <v>798</v>
      </c>
    </row>
    <row r="14" customFormat="false" ht="21.75" hidden="false" customHeight="true" outlineLevel="0" collapsed="false">
      <c r="A14" s="2"/>
      <c r="B14" s="33" t="s">
        <v>799</v>
      </c>
      <c r="C14" s="34" t="s">
        <v>800</v>
      </c>
      <c r="D14" s="35"/>
      <c r="E14" s="35"/>
      <c r="F14" s="35"/>
      <c r="G14" s="35"/>
      <c r="H14" s="35"/>
    </row>
    <row r="15" customFormat="false" ht="36" hidden="false" customHeight="true" outlineLevel="0" collapsed="false">
      <c r="A15" s="2"/>
      <c r="B15" s="9" t="s">
        <v>801</v>
      </c>
      <c r="C15" s="17" t="s">
        <v>108</v>
      </c>
      <c r="D15" s="36" t="n">
        <v>45</v>
      </c>
      <c r="E15" s="36" t="n">
        <v>45</v>
      </c>
      <c r="F15" s="18" t="s">
        <v>94</v>
      </c>
      <c r="G15" s="8" t="n">
        <f aca="false">'Master of Price'!$G$19</f>
        <v>352000</v>
      </c>
      <c r="H15" s="8" t="n">
        <f aca="false">E15*G15</f>
        <v>15840000</v>
      </c>
    </row>
    <row r="16" customFormat="false" ht="27.75" hidden="false" customHeight="true" outlineLevel="0" collapsed="false">
      <c r="A16" s="2"/>
      <c r="B16" s="9" t="s">
        <v>802</v>
      </c>
      <c r="C16" s="17" t="s">
        <v>96</v>
      </c>
      <c r="D16" s="36" t="n">
        <v>45</v>
      </c>
      <c r="E16" s="36" t="n">
        <v>45</v>
      </c>
      <c r="F16" s="18" t="s">
        <v>94</v>
      </c>
      <c r="G16" s="8" t="n">
        <f aca="false">'Master of Price'!$G$13</f>
        <v>100000</v>
      </c>
      <c r="H16" s="8" t="n">
        <f aca="false">E16*G16</f>
        <v>4500000</v>
      </c>
    </row>
    <row r="17" customFormat="false" ht="27.75" hidden="false" customHeight="true" outlineLevel="0" collapsed="false">
      <c r="A17" s="2"/>
      <c r="B17" s="9" t="s">
        <v>803</v>
      </c>
      <c r="C17" s="17" t="s">
        <v>98</v>
      </c>
      <c r="D17" s="36" t="n">
        <v>45</v>
      </c>
      <c r="E17" s="36" t="n">
        <v>45</v>
      </c>
      <c r="F17" s="18" t="s">
        <v>94</v>
      </c>
      <c r="G17" s="8" t="n">
        <f aca="false">'Master of Price'!$G$14</f>
        <v>28000</v>
      </c>
      <c r="H17" s="8" t="n">
        <f aca="false">E17*G17</f>
        <v>1260000</v>
      </c>
    </row>
    <row r="18" customFormat="false" ht="27.75" hidden="false" customHeight="true" outlineLevel="0" collapsed="false">
      <c r="A18" s="2"/>
      <c r="B18" s="9" t="s">
        <v>804</v>
      </c>
      <c r="C18" s="17" t="s">
        <v>100</v>
      </c>
      <c r="D18" s="36" t="n">
        <v>45</v>
      </c>
      <c r="E18" s="36" t="n">
        <v>45</v>
      </c>
      <c r="F18" s="18" t="s">
        <v>94</v>
      </c>
      <c r="G18" s="8" t="n">
        <f aca="false">'Master of Price'!$G$15</f>
        <v>45000</v>
      </c>
      <c r="H18" s="8" t="n">
        <f aca="false">E18*G18</f>
        <v>2025000</v>
      </c>
    </row>
    <row r="19" customFormat="false" ht="27.75" hidden="false" customHeight="true" outlineLevel="0" collapsed="false">
      <c r="A19" s="2"/>
      <c r="B19" s="9" t="s">
        <v>805</v>
      </c>
      <c r="C19" s="17" t="s">
        <v>102</v>
      </c>
      <c r="D19" s="36" t="n">
        <v>45</v>
      </c>
      <c r="E19" s="36" t="n">
        <v>45</v>
      </c>
      <c r="F19" s="18" t="s">
        <v>94</v>
      </c>
      <c r="G19" s="8" t="n">
        <f aca="false">'Master of Price'!$G$16</f>
        <v>75000</v>
      </c>
      <c r="H19" s="8" t="n">
        <f aca="false">E19*G19</f>
        <v>3375000</v>
      </c>
    </row>
    <row r="20" customFormat="false" ht="25.5" hidden="false" customHeight="true" outlineLevel="0" collapsed="false">
      <c r="A20" s="2"/>
      <c r="B20" s="23" t="s">
        <v>806</v>
      </c>
      <c r="C20" s="23"/>
      <c r="D20" s="23"/>
      <c r="E20" s="23"/>
      <c r="F20" s="23"/>
      <c r="G20" s="23"/>
      <c r="H20" s="11" t="n">
        <f aca="false">SUM(H15:H19)</f>
        <v>27000000</v>
      </c>
    </row>
    <row r="21" customFormat="false" ht="21.75" hidden="false" customHeight="true" outlineLevel="0" collapsed="false">
      <c r="A21" s="2"/>
      <c r="B21" s="15" t="s">
        <v>807</v>
      </c>
      <c r="C21" s="15"/>
      <c r="D21" s="15"/>
      <c r="E21" s="15"/>
      <c r="F21" s="15"/>
      <c r="G21" s="15"/>
      <c r="H21" s="15"/>
    </row>
    <row r="22" customFormat="false" ht="27.75" hidden="false" customHeight="true" outlineLevel="0" collapsed="false">
      <c r="A22" s="2"/>
      <c r="B22" s="7" t="s">
        <v>16</v>
      </c>
      <c r="C22" s="7" t="s">
        <v>795</v>
      </c>
      <c r="D22" s="7" t="s">
        <v>796</v>
      </c>
      <c r="E22" s="7" t="s">
        <v>797</v>
      </c>
      <c r="F22" s="7" t="s">
        <v>89</v>
      </c>
      <c r="G22" s="7" t="s">
        <v>90</v>
      </c>
      <c r="H22" s="7" t="s">
        <v>798</v>
      </c>
    </row>
    <row r="23" customFormat="false" ht="21.75" hidden="false" customHeight="true" outlineLevel="0" collapsed="false">
      <c r="A23" s="2"/>
      <c r="B23" s="33" t="s">
        <v>808</v>
      </c>
      <c r="C23" s="34" t="s">
        <v>809</v>
      </c>
      <c r="D23" s="35"/>
      <c r="E23" s="35"/>
      <c r="F23" s="35"/>
      <c r="G23" s="35"/>
      <c r="H23" s="35"/>
    </row>
    <row r="24" customFormat="false" ht="27.75" hidden="false" customHeight="true" outlineLevel="0" collapsed="false">
      <c r="A24" s="2"/>
      <c r="B24" s="9" t="s">
        <v>810</v>
      </c>
      <c r="C24" s="17" t="s">
        <v>116</v>
      </c>
      <c r="D24" s="36" t="n">
        <v>5.07</v>
      </c>
      <c r="E24" s="36" t="n">
        <v>5.07</v>
      </c>
      <c r="F24" s="18" t="s">
        <v>114</v>
      </c>
      <c r="G24" s="8" t="n">
        <f aca="false">'Master of Price'!$G$22</f>
        <v>47500</v>
      </c>
      <c r="H24" s="8" t="n">
        <f aca="false">E24*G24</f>
        <v>240825</v>
      </c>
    </row>
    <row r="25" customFormat="false" ht="21.75" hidden="false" customHeight="true" outlineLevel="0" collapsed="false">
      <c r="A25" s="2"/>
      <c r="B25" s="9" t="s">
        <v>828</v>
      </c>
      <c r="C25" s="17" t="s">
        <v>118</v>
      </c>
      <c r="D25" s="36" t="n">
        <v>0.39</v>
      </c>
      <c r="E25" s="36" t="n">
        <v>0.39</v>
      </c>
      <c r="F25" s="18" t="s">
        <v>114</v>
      </c>
      <c r="G25" s="8" t="n">
        <f aca="false">'Master of Price'!$G$23</f>
        <v>90000</v>
      </c>
      <c r="H25" s="8" t="n">
        <f aca="false">E25*G25</f>
        <v>35100</v>
      </c>
    </row>
    <row r="26" customFormat="false" ht="21.75" hidden="false" customHeight="true" outlineLevel="0" collapsed="false">
      <c r="A26" s="2"/>
      <c r="B26" s="9" t="s">
        <v>829</v>
      </c>
      <c r="C26" s="17" t="s">
        <v>120</v>
      </c>
      <c r="D26" s="36" t="n">
        <v>0.08</v>
      </c>
      <c r="E26" s="36" t="n">
        <v>0.08</v>
      </c>
      <c r="F26" s="18" t="s">
        <v>114</v>
      </c>
      <c r="G26" s="8" t="n">
        <f aca="false">'Master of Price'!$G$24</f>
        <v>130000</v>
      </c>
      <c r="H26" s="8" t="n">
        <f aca="false">E26*G26</f>
        <v>10400</v>
      </c>
    </row>
    <row r="27" customFormat="false" ht="27.75" hidden="false" customHeight="true" outlineLevel="0" collapsed="false">
      <c r="A27" s="2"/>
      <c r="B27" s="9" t="s">
        <v>830</v>
      </c>
      <c r="C27" s="17" t="s">
        <v>122</v>
      </c>
      <c r="D27" s="36" t="n">
        <v>3.9</v>
      </c>
      <c r="E27" s="36" t="n">
        <v>3.9</v>
      </c>
      <c r="F27" s="18" t="s">
        <v>114</v>
      </c>
      <c r="G27" s="8" t="n">
        <f aca="false">'Master of Price'!$G$25</f>
        <v>700000</v>
      </c>
      <c r="H27" s="8" t="n">
        <f aca="false">E27*G27</f>
        <v>2730000</v>
      </c>
    </row>
    <row r="28" customFormat="false" ht="36" hidden="false" customHeight="true" outlineLevel="0" collapsed="false">
      <c r="A28" s="2"/>
      <c r="B28" s="9" t="s">
        <v>831</v>
      </c>
      <c r="C28" s="17" t="s">
        <v>124</v>
      </c>
      <c r="D28" s="36" t="n">
        <v>0.975</v>
      </c>
      <c r="E28" s="36" t="n">
        <v>0.975</v>
      </c>
      <c r="F28" s="18" t="s">
        <v>114</v>
      </c>
      <c r="G28" s="8" t="n">
        <f aca="false">'Master of Price'!$G$26</f>
        <v>1000000</v>
      </c>
      <c r="H28" s="8" t="n">
        <f aca="false">E28*G28</f>
        <v>975000</v>
      </c>
    </row>
    <row r="29" customFormat="false" ht="36" hidden="false" customHeight="true" outlineLevel="0" collapsed="false">
      <c r="A29" s="2"/>
      <c r="B29" s="9" t="s">
        <v>832</v>
      </c>
      <c r="C29" s="17" t="s">
        <v>113</v>
      </c>
      <c r="D29" s="36" t="n">
        <v>0.1</v>
      </c>
      <c r="E29" s="36" t="n">
        <v>0.1</v>
      </c>
      <c r="F29" s="18" t="s">
        <v>114</v>
      </c>
      <c r="G29" s="8" t="n">
        <f aca="false">'Master of Price'!$G$21</f>
        <v>1000000</v>
      </c>
      <c r="H29" s="8" t="n">
        <f aca="false">E29*G29</f>
        <v>100000</v>
      </c>
    </row>
    <row r="30" customFormat="false" ht="36" hidden="false" customHeight="true" outlineLevel="0" collapsed="false">
      <c r="A30" s="2"/>
      <c r="B30" s="9" t="s">
        <v>833</v>
      </c>
      <c r="C30" s="17" t="s">
        <v>128</v>
      </c>
      <c r="D30" s="36" t="n">
        <v>1</v>
      </c>
      <c r="E30" s="36" t="n">
        <v>1</v>
      </c>
      <c r="F30" s="18" t="s">
        <v>129</v>
      </c>
      <c r="G30" s="8" t="n">
        <f aca="false">'Master of Price'!$G$28</f>
        <v>4500000</v>
      </c>
      <c r="H30" s="8" t="n">
        <f aca="false">E30*G30</f>
        <v>4500000</v>
      </c>
    </row>
    <row r="31" customFormat="false" ht="25.5" hidden="false" customHeight="true" outlineLevel="0" collapsed="false">
      <c r="A31" s="2"/>
      <c r="B31" s="23" t="s">
        <v>811</v>
      </c>
      <c r="C31" s="23"/>
      <c r="D31" s="23"/>
      <c r="E31" s="23"/>
      <c r="F31" s="23"/>
      <c r="G31" s="23"/>
      <c r="H31" s="11" t="n">
        <f aca="false">SUM(H24:H30)</f>
        <v>8591325</v>
      </c>
    </row>
    <row r="32" customFormat="false" ht="21.75" hidden="false" customHeight="true" outlineLevel="0" collapsed="false">
      <c r="A32" s="2"/>
      <c r="B32" s="15" t="s">
        <v>834</v>
      </c>
      <c r="C32" s="15"/>
      <c r="D32" s="15"/>
      <c r="E32" s="15"/>
      <c r="F32" s="15"/>
      <c r="G32" s="15"/>
      <c r="H32" s="15"/>
    </row>
    <row r="33" customFormat="false" ht="27.75" hidden="false" customHeight="true" outlineLevel="0" collapsed="false">
      <c r="A33" s="2"/>
      <c r="B33" s="7" t="s">
        <v>16</v>
      </c>
      <c r="C33" s="7" t="s">
        <v>795</v>
      </c>
      <c r="D33" s="7" t="s">
        <v>796</v>
      </c>
      <c r="E33" s="7" t="s">
        <v>797</v>
      </c>
      <c r="F33" s="7" t="s">
        <v>89</v>
      </c>
      <c r="G33" s="7" t="s">
        <v>90</v>
      </c>
      <c r="H33" s="7" t="s">
        <v>798</v>
      </c>
    </row>
    <row r="34" customFormat="false" ht="21.75" hidden="false" customHeight="true" outlineLevel="0" collapsed="false">
      <c r="A34" s="2"/>
      <c r="B34" s="33" t="s">
        <v>813</v>
      </c>
      <c r="C34" s="34" t="s">
        <v>835</v>
      </c>
      <c r="D34" s="35"/>
      <c r="E34" s="35"/>
      <c r="F34" s="35"/>
      <c r="G34" s="35"/>
      <c r="H34" s="35"/>
    </row>
    <row r="35" customFormat="false" ht="36" hidden="false" customHeight="true" outlineLevel="0" collapsed="false">
      <c r="A35" s="2"/>
      <c r="B35" s="9" t="s">
        <v>815</v>
      </c>
      <c r="C35" s="17" t="s">
        <v>132</v>
      </c>
      <c r="D35" s="36" t="n">
        <v>1</v>
      </c>
      <c r="E35" s="36" t="n">
        <v>1</v>
      </c>
      <c r="F35" s="18" t="s">
        <v>133</v>
      </c>
      <c r="G35" s="8" t="n">
        <f aca="false">'Master of Price'!$G$29</f>
        <v>24000000</v>
      </c>
      <c r="H35" s="8" t="n">
        <f aca="false">E35*G35</f>
        <v>24000000</v>
      </c>
    </row>
    <row r="36" customFormat="false" ht="27.75" hidden="false" customHeight="true" outlineLevel="0" collapsed="false">
      <c r="A36" s="2"/>
      <c r="B36" s="9" t="s">
        <v>816</v>
      </c>
      <c r="C36" s="17" t="s">
        <v>135</v>
      </c>
      <c r="D36" s="36" t="n">
        <v>1</v>
      </c>
      <c r="E36" s="36" t="n">
        <v>1</v>
      </c>
      <c r="F36" s="18" t="s">
        <v>136</v>
      </c>
      <c r="G36" s="8" t="n">
        <f aca="false">'Master of Price'!$G$30</f>
        <v>1500000</v>
      </c>
      <c r="H36" s="8" t="n">
        <f aca="false">E36*G36</f>
        <v>1500000</v>
      </c>
    </row>
    <row r="37" customFormat="false" ht="36" hidden="false" customHeight="true" outlineLevel="0" collapsed="false">
      <c r="A37" s="2"/>
      <c r="B37" s="9" t="s">
        <v>836</v>
      </c>
      <c r="C37" s="17" t="s">
        <v>138</v>
      </c>
      <c r="D37" s="36" t="n">
        <v>5</v>
      </c>
      <c r="E37" s="36" t="n">
        <v>5</v>
      </c>
      <c r="F37" s="18" t="s">
        <v>133</v>
      </c>
      <c r="G37" s="8" t="n">
        <f aca="false">'Master of Price'!$G$31</f>
        <v>2100000</v>
      </c>
      <c r="H37" s="8" t="n">
        <f aca="false">E37*G37</f>
        <v>10500000</v>
      </c>
    </row>
    <row r="38" customFormat="false" ht="36" hidden="false" customHeight="true" outlineLevel="0" collapsed="false">
      <c r="A38" s="2"/>
      <c r="B38" s="9" t="s">
        <v>837</v>
      </c>
      <c r="C38" s="17" t="s">
        <v>140</v>
      </c>
      <c r="D38" s="36" t="n">
        <v>1</v>
      </c>
      <c r="E38" s="36" t="n">
        <v>1</v>
      </c>
      <c r="F38" s="18" t="s">
        <v>136</v>
      </c>
      <c r="G38" s="8" t="n">
        <f aca="false">'Master of Price'!$G$32</f>
        <v>2500000</v>
      </c>
      <c r="H38" s="8" t="n">
        <f aca="false">E38*G38</f>
        <v>2500000</v>
      </c>
    </row>
    <row r="39" customFormat="false" ht="25.5" hidden="false" customHeight="true" outlineLevel="0" collapsed="false">
      <c r="A39" s="2"/>
      <c r="B39" s="23" t="s">
        <v>838</v>
      </c>
      <c r="C39" s="23"/>
      <c r="D39" s="23"/>
      <c r="E39" s="23"/>
      <c r="F39" s="23"/>
      <c r="G39" s="23"/>
      <c r="H39" s="11" t="n">
        <f aca="false">SUM(H35:H38)</f>
        <v>38500000</v>
      </c>
    </row>
    <row r="40" customFormat="false" ht="21.75" hidden="false" customHeight="true" outlineLevel="0" collapsed="false">
      <c r="A40" s="2"/>
      <c r="B40" s="37" t="s">
        <v>818</v>
      </c>
      <c r="C40" s="37"/>
      <c r="D40" s="37"/>
      <c r="E40" s="37"/>
      <c r="F40" s="37"/>
      <c r="G40" s="37"/>
      <c r="H40" s="38" t="n">
        <f aca="false">H43-(H20+H31+H39)</f>
        <v>30700588</v>
      </c>
    </row>
    <row r="41" customFormat="false" ht="27.75" hidden="false" customHeight="true" outlineLevel="0" collapsed="false">
      <c r="A41" s="2"/>
      <c r="B41" s="10" t="s">
        <v>819</v>
      </c>
      <c r="C41" s="10"/>
      <c r="D41" s="10"/>
      <c r="E41" s="10"/>
      <c r="F41" s="10"/>
      <c r="G41" s="10"/>
      <c r="H41" s="39" t="n">
        <f aca="false">H20+H31+H39+H40</f>
        <v>104791913</v>
      </c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</row>
    <row r="43" customFormat="false" ht="21.75" hidden="false" customHeight="true" outlineLevel="0" collapsed="false">
      <c r="A43" s="2"/>
      <c r="B43" s="21" t="s">
        <v>820</v>
      </c>
      <c r="C43" s="21"/>
      <c r="D43" s="21"/>
      <c r="E43" s="21"/>
      <c r="F43" s="21"/>
      <c r="G43" s="21"/>
      <c r="H43" s="40" t="n">
        <f aca="false">RINGKASAN!$K$24</f>
        <v>104791913</v>
      </c>
    </row>
    <row r="44" customFormat="false" ht="21.75" hidden="false" customHeight="true" outlineLevel="0" collapsed="false">
      <c r="A44" s="2"/>
      <c r="B44" s="41" t="s">
        <v>821</v>
      </c>
      <c r="C44" s="41"/>
      <c r="D44" s="41"/>
      <c r="E44" s="41"/>
      <c r="F44" s="41"/>
      <c r="G44" s="41"/>
      <c r="H44" s="8" t="n">
        <f aca="false">H41-H43</f>
        <v>0</v>
      </c>
    </row>
    <row r="45" customFormat="false" ht="21.75" hidden="false" customHeight="true" outlineLevel="0" collapsed="false">
      <c r="A45" s="2"/>
      <c r="B45" s="42" t="s">
        <v>822</v>
      </c>
      <c r="C45" s="42"/>
      <c r="D45" s="42"/>
      <c r="E45" s="42"/>
      <c r="F45" s="42"/>
      <c r="G45" s="42"/>
      <c r="H45" s="37" t="str">
        <f aca="false">IF(H40&lt;0,"OVER BUDGET","OK")</f>
        <v>OK</v>
      </c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</row>
    <row r="61" customFormat="false" ht="15" hidden="false" customHeight="false" outlineLevel="0" collapsed="false">
      <c r="A61" s="2"/>
      <c r="B61" s="2"/>
      <c r="C61" s="2"/>
      <c r="D61" s="2"/>
      <c r="E61" s="2"/>
      <c r="F61" s="2"/>
      <c r="G61" s="2"/>
      <c r="H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  <c r="G62" s="2"/>
      <c r="H62" s="2"/>
    </row>
    <row r="63" customFormat="false" ht="15" hidden="false" customHeight="false" outlineLevel="0" collapsed="false">
      <c r="A63" s="2"/>
      <c r="B63" s="2"/>
      <c r="C63" s="2"/>
      <c r="D63" s="2"/>
      <c r="E63" s="2"/>
      <c r="F63" s="2"/>
      <c r="G63" s="2"/>
      <c r="H63" s="2"/>
    </row>
    <row r="64" customFormat="false" ht="15" hidden="false" customHeight="false" outlineLevel="0" collapsed="false">
      <c r="A64" s="2"/>
      <c r="B64" s="2"/>
      <c r="C64" s="2"/>
      <c r="D64" s="2"/>
      <c r="E64" s="2"/>
      <c r="F64" s="2"/>
      <c r="G64" s="2"/>
      <c r="H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</row>
    <row r="66" customFormat="false" ht="15" hidden="false" customHeight="false" outlineLevel="0" collapsed="false">
      <c r="A66" s="2"/>
      <c r="B66" s="2"/>
      <c r="C66" s="2"/>
      <c r="D66" s="2"/>
      <c r="E66" s="2"/>
      <c r="F66" s="2"/>
      <c r="G66" s="2"/>
      <c r="H66" s="2"/>
    </row>
    <row r="67" customFormat="false" ht="15" hidden="false" customHeight="false" outlineLevel="0" collapsed="false">
      <c r="A67" s="2"/>
      <c r="B67" s="2"/>
      <c r="C67" s="2"/>
      <c r="D67" s="2"/>
      <c r="E67" s="2"/>
      <c r="F67" s="2"/>
      <c r="G67" s="2"/>
      <c r="H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"/>
      <c r="H70" s="2"/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</row>
    <row r="250" customFormat="false" ht="15.7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</row>
    <row r="251" customFormat="false" ht="15.7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</row>
    <row r="252" customFormat="false" ht="15.7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</row>
    <row r="253" customFormat="false" ht="15.7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</row>
    <row r="254" customFormat="false" ht="15.7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</row>
    <row r="255" customFormat="false" ht="15.7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</row>
    <row r="256" customFormat="false" ht="15.7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</row>
    <row r="257" customFormat="false" ht="15.7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</row>
    <row r="258" customFormat="false" ht="15.7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</row>
    <row r="259" customFormat="false" ht="15.7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</row>
    <row r="260" customFormat="false" ht="15.7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</row>
    <row r="261" customFormat="false" ht="15.7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</row>
    <row r="262" customFormat="false" ht="15.7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</row>
    <row r="263" customFormat="false" ht="15.7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</row>
    <row r="264" customFormat="false" ht="15.7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</row>
    <row r="265" customFormat="false" ht="15.7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</row>
    <row r="266" customFormat="false" ht="15.7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</row>
    <row r="267" customFormat="false" ht="15.7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</row>
    <row r="268" customFormat="false" ht="15.7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</row>
    <row r="269" customFormat="false" ht="15.7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</row>
    <row r="270" customFormat="false" ht="15.7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</row>
    <row r="271" customFormat="false" ht="15.7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</row>
    <row r="272" customFormat="false" ht="15.7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</row>
    <row r="273" customFormat="false" ht="15.7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</row>
    <row r="274" customFormat="false" ht="15.7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</row>
    <row r="275" customFormat="false" ht="15.7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</row>
    <row r="276" customFormat="false" ht="15.7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</row>
    <row r="277" customFormat="false" ht="15.7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</row>
    <row r="278" customFormat="false" ht="15.7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</row>
    <row r="279" customFormat="false" ht="15.7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</row>
    <row r="280" customFormat="false" ht="15.7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</row>
    <row r="281" customFormat="false" ht="15.7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</row>
    <row r="282" customFormat="false" ht="15.7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</row>
    <row r="283" customFormat="false" ht="15.7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</row>
    <row r="284" customFormat="false" ht="15.7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</row>
    <row r="285" customFormat="false" ht="15.7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</row>
    <row r="286" customFormat="false" ht="15.7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</row>
    <row r="287" customFormat="false" ht="15.7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</row>
    <row r="288" customFormat="false" ht="15.7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</row>
    <row r="289" customFormat="false" ht="15.7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</row>
    <row r="290" customFormat="false" ht="15.7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</row>
    <row r="291" customFormat="false" ht="15.7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</row>
    <row r="292" customFormat="false" ht="15.7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</row>
    <row r="293" customFormat="false" ht="15.7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</row>
    <row r="294" customFormat="false" ht="15.7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</row>
    <row r="295" customFormat="false" ht="15.7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</row>
    <row r="296" customFormat="false" ht="15.7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</row>
    <row r="297" customFormat="false" ht="15.7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</row>
    <row r="298" customFormat="false" ht="15.7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</row>
    <row r="299" customFormat="false" ht="15.7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</row>
    <row r="300" customFormat="false" ht="15.7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</row>
    <row r="301" customFormat="false" ht="15.7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</row>
    <row r="302" customFormat="false" ht="15.7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</row>
    <row r="303" customFormat="false" ht="15.7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</row>
    <row r="304" customFormat="false" ht="15.7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</row>
    <row r="305" customFormat="false" ht="15.7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</row>
    <row r="306" customFormat="false" ht="15.7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</row>
    <row r="307" customFormat="false" ht="15.7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</row>
    <row r="308" customFormat="false" ht="15.7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</row>
    <row r="309" customFormat="false" ht="15.7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</row>
    <row r="310" customFormat="false" ht="15.7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</row>
    <row r="311" customFormat="false" ht="15.7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</row>
    <row r="312" customFormat="false" ht="15.7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</row>
    <row r="313" customFormat="false" ht="15.7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</row>
    <row r="314" customFormat="false" ht="15.7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</row>
    <row r="315" customFormat="false" ht="15.7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</row>
    <row r="316" customFormat="false" ht="15.7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</row>
    <row r="317" customFormat="false" ht="15.7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</row>
    <row r="318" customFormat="false" ht="15.7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</row>
    <row r="319" customFormat="false" ht="15.7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</row>
    <row r="320" customFormat="false" ht="15.7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</row>
    <row r="321" customFormat="false" ht="15.7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</row>
    <row r="322" customFormat="false" ht="15.7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</row>
    <row r="323" customFormat="false" ht="15.7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</row>
    <row r="324" customFormat="false" ht="15.7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</row>
    <row r="325" customFormat="false" ht="15.7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</row>
    <row r="326" customFormat="false" ht="15.7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</row>
    <row r="327" customFormat="false" ht="15.7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</row>
    <row r="328" customFormat="false" ht="15.7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</row>
    <row r="329" customFormat="false" ht="15.7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</row>
    <row r="330" customFormat="false" ht="15.7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</row>
    <row r="331" customFormat="false" ht="15.7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</row>
    <row r="332" customFormat="false" ht="15.7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</row>
    <row r="333" customFormat="false" ht="15.7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</row>
    <row r="334" customFormat="false" ht="15.7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</row>
    <row r="335" customFormat="false" ht="15.7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</row>
    <row r="336" customFormat="false" ht="15.7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</row>
    <row r="337" customFormat="false" ht="15.7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</row>
    <row r="338" customFormat="false" ht="15.7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</row>
    <row r="339" customFormat="false" ht="15.7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</row>
    <row r="340" customFormat="false" ht="15.7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</row>
    <row r="341" customFormat="false" ht="15.7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</row>
    <row r="342" customFormat="false" ht="15.7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</row>
    <row r="343" customFormat="false" ht="15.7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</row>
    <row r="344" customFormat="false" ht="15.7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</row>
    <row r="345" customFormat="false" ht="15.7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</row>
    <row r="346" customFormat="false" ht="15.7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</row>
    <row r="347" customFormat="false" ht="15.7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</row>
    <row r="348" customFormat="false" ht="15.7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</row>
    <row r="349" customFormat="false" ht="15.7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</row>
    <row r="350" customFormat="false" ht="15.7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</row>
    <row r="351" customFormat="false" ht="15.7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</row>
    <row r="352" customFormat="false" ht="15.7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</row>
    <row r="353" customFormat="false" ht="15.7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</row>
    <row r="354" customFormat="false" ht="15.7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</row>
    <row r="355" customFormat="false" ht="15.7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</row>
    <row r="356" customFormat="false" ht="15.7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</row>
    <row r="357" customFormat="false" ht="15.7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</row>
    <row r="358" customFormat="false" ht="15.7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</row>
    <row r="359" customFormat="false" ht="15.7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</row>
    <row r="360" customFormat="false" ht="15.7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</row>
    <row r="361" customFormat="false" ht="15.7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</row>
    <row r="362" customFormat="false" ht="15.7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</row>
    <row r="363" customFormat="false" ht="15.7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</row>
    <row r="364" customFormat="false" ht="15.7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</row>
    <row r="365" customFormat="false" ht="15.7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</row>
    <row r="366" customFormat="false" ht="15.7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</row>
    <row r="367" customFormat="false" ht="15.7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</row>
    <row r="368" customFormat="false" ht="15.7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</row>
    <row r="369" customFormat="false" ht="15.7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</row>
    <row r="370" customFormat="false" ht="15.7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</row>
    <row r="371" customFormat="false" ht="15.7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</row>
    <row r="372" customFormat="false" ht="15.7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</row>
    <row r="373" customFormat="false" ht="15.7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</row>
    <row r="374" customFormat="false" ht="15.7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</row>
    <row r="375" customFormat="false" ht="15.7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</row>
    <row r="376" customFormat="false" ht="15.7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</row>
    <row r="377" customFormat="false" ht="15.7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</row>
    <row r="378" customFormat="false" ht="15.7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</row>
    <row r="379" customFormat="false" ht="15.7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</row>
    <row r="380" customFormat="false" ht="15.7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</row>
    <row r="381" customFormat="false" ht="15.7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</row>
    <row r="382" customFormat="false" ht="15.7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</row>
    <row r="383" customFormat="false" ht="15.7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</row>
    <row r="384" customFormat="false" ht="15.7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</row>
    <row r="385" customFormat="false" ht="15.7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</row>
    <row r="386" customFormat="false" ht="15.7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</row>
    <row r="387" customFormat="false" ht="15.7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</row>
    <row r="388" customFormat="false" ht="15.7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</row>
    <row r="389" customFormat="false" ht="15.7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</row>
    <row r="390" customFormat="false" ht="15.7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</row>
    <row r="391" customFormat="false" ht="15.7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</row>
    <row r="392" customFormat="false" ht="15.7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</row>
    <row r="393" customFormat="false" ht="15.7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</row>
    <row r="394" customFormat="false" ht="15.7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</row>
    <row r="395" customFormat="false" ht="15.7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</row>
    <row r="396" customFormat="false" ht="15.7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</row>
    <row r="397" customFormat="false" ht="15.7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</row>
    <row r="398" customFormat="false" ht="15.7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</row>
    <row r="399" customFormat="false" ht="15.7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</row>
    <row r="400" customFormat="false" ht="15.7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</row>
    <row r="401" customFormat="false" ht="15.7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</row>
    <row r="402" customFormat="false" ht="15.7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</row>
    <row r="403" customFormat="false" ht="15.7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</row>
    <row r="404" customFormat="false" ht="15.7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</row>
    <row r="405" customFormat="false" ht="15.7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</row>
    <row r="406" customFormat="false" ht="15.7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</row>
    <row r="407" customFormat="false" ht="15.7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</row>
    <row r="408" customFormat="false" ht="15.7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</row>
    <row r="409" customFormat="false" ht="15.7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</row>
    <row r="410" customFormat="false" ht="15.7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</row>
    <row r="411" customFormat="false" ht="15.7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</row>
    <row r="412" customFormat="false" ht="15.7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</row>
    <row r="413" customFormat="false" ht="15.7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</row>
    <row r="414" customFormat="false" ht="15.7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</row>
    <row r="415" customFormat="false" ht="15.7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</row>
    <row r="416" customFormat="false" ht="15.7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</row>
    <row r="417" customFormat="false" ht="15.7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</row>
    <row r="418" customFormat="false" ht="15.7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</row>
    <row r="419" customFormat="false" ht="15.7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</row>
    <row r="420" customFormat="false" ht="15.7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</row>
    <row r="421" customFormat="false" ht="15.7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</row>
    <row r="422" customFormat="false" ht="15.7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</row>
    <row r="423" customFormat="false" ht="15.7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</row>
    <row r="424" customFormat="false" ht="15.7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</row>
    <row r="425" customFormat="false" ht="15.7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</row>
    <row r="426" customFormat="false" ht="15.7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</row>
    <row r="427" customFormat="false" ht="15.7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</row>
    <row r="428" customFormat="false" ht="15.7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</row>
    <row r="429" customFormat="false" ht="15.7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</row>
    <row r="430" customFormat="false" ht="15.7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</row>
    <row r="431" customFormat="false" ht="15.7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</row>
    <row r="432" customFormat="false" ht="15.7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</row>
    <row r="433" customFormat="false" ht="15.7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</row>
    <row r="434" customFormat="false" ht="15.7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</row>
    <row r="435" customFormat="false" ht="15.7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</row>
    <row r="436" customFormat="false" ht="15.7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</row>
    <row r="437" customFormat="false" ht="15.7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</row>
    <row r="438" customFormat="false" ht="15.7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</row>
    <row r="439" customFormat="false" ht="15.7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</row>
    <row r="440" customFormat="false" ht="15.7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</row>
    <row r="441" customFormat="false" ht="15.7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</row>
    <row r="442" customFormat="false" ht="15.7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</row>
    <row r="443" customFormat="false" ht="15.7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</row>
    <row r="444" customFormat="false" ht="15.7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</row>
    <row r="445" customFormat="false" ht="15.7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</row>
    <row r="446" customFormat="false" ht="15.7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</row>
    <row r="447" customFormat="false" ht="15.7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</row>
    <row r="448" customFormat="false" ht="15.7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</row>
    <row r="449" customFormat="false" ht="15.7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</row>
    <row r="450" customFormat="false" ht="15.7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</row>
    <row r="451" customFormat="false" ht="15.7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</row>
    <row r="452" customFormat="false" ht="15.7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</row>
    <row r="453" customFormat="false" ht="15.7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</row>
    <row r="454" customFormat="false" ht="15.7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</row>
    <row r="455" customFormat="false" ht="15.7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</row>
    <row r="456" customFormat="false" ht="15.7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</row>
    <row r="457" customFormat="false" ht="15.7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</row>
    <row r="458" customFormat="false" ht="15.7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</row>
    <row r="459" customFormat="false" ht="15.7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</row>
    <row r="460" customFormat="false" ht="15.7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</row>
    <row r="461" customFormat="false" ht="15.7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</row>
    <row r="462" customFormat="false" ht="15.7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</row>
    <row r="463" customFormat="false" ht="15.7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</row>
    <row r="464" customFormat="false" ht="15.7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</row>
    <row r="465" customFormat="false" ht="15.7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</row>
    <row r="466" customFormat="false" ht="15.7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</row>
    <row r="467" customFormat="false" ht="15.7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</row>
    <row r="468" customFormat="false" ht="15.7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</row>
    <row r="469" customFormat="false" ht="15.7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</row>
    <row r="470" customFormat="false" ht="15.7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</row>
    <row r="471" customFormat="false" ht="15.7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</row>
    <row r="472" customFormat="false" ht="15.7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</row>
    <row r="473" customFormat="false" ht="15.7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</row>
    <row r="474" customFormat="false" ht="15.7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</row>
    <row r="475" customFormat="false" ht="15.7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</row>
    <row r="476" customFormat="false" ht="15.7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</row>
    <row r="477" customFormat="false" ht="15.7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</row>
    <row r="478" customFormat="false" ht="15.7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</row>
    <row r="479" customFormat="false" ht="15.7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</row>
    <row r="480" customFormat="false" ht="15.7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</row>
    <row r="481" customFormat="false" ht="15.7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</row>
    <row r="482" customFormat="false" ht="15.7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</row>
    <row r="483" customFormat="false" ht="15.7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</row>
    <row r="484" customFormat="false" ht="15.7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</row>
    <row r="485" customFormat="false" ht="15.7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</row>
    <row r="486" customFormat="false" ht="15.7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</row>
    <row r="487" customFormat="false" ht="15.7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</row>
    <row r="488" customFormat="false" ht="15.7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</row>
    <row r="489" customFormat="false" ht="15.7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</row>
    <row r="490" customFormat="false" ht="15.7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</row>
    <row r="491" customFormat="false" ht="15.7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</row>
    <row r="492" customFormat="false" ht="15.7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</row>
    <row r="493" customFormat="false" ht="15.7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</row>
    <row r="494" customFormat="false" ht="15.7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</row>
    <row r="495" customFormat="false" ht="15.7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</row>
    <row r="496" customFormat="false" ht="15.7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</row>
    <row r="497" customFormat="false" ht="15.7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</row>
    <row r="498" customFormat="false" ht="15.7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</row>
    <row r="499" customFormat="false" ht="15.7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</row>
    <row r="500" customFormat="false" ht="15.7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</row>
    <row r="501" customFormat="false" ht="15.7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</row>
    <row r="502" customFormat="false" ht="15.7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</row>
    <row r="503" customFormat="false" ht="15.7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</row>
    <row r="504" customFormat="false" ht="15.7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</row>
    <row r="505" customFormat="false" ht="15.7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</row>
    <row r="506" customFormat="false" ht="15.7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</row>
    <row r="507" customFormat="false" ht="15.7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</row>
    <row r="508" customFormat="false" ht="15.7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</row>
    <row r="509" customFormat="false" ht="15.7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</row>
    <row r="510" customFormat="false" ht="15.7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</row>
    <row r="511" customFormat="false" ht="15.7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</row>
    <row r="512" customFormat="false" ht="15.7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</row>
    <row r="513" customFormat="false" ht="15.7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</row>
    <row r="514" customFormat="false" ht="15.7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</row>
    <row r="515" customFormat="false" ht="15.7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</row>
    <row r="516" customFormat="false" ht="15.7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</row>
    <row r="517" customFormat="false" ht="15.7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</row>
    <row r="518" customFormat="false" ht="15.7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</row>
    <row r="519" customFormat="false" ht="15.7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</row>
    <row r="520" customFormat="false" ht="15.7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</row>
    <row r="521" customFormat="false" ht="15.7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</row>
    <row r="522" customFormat="false" ht="15.7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</row>
    <row r="523" customFormat="false" ht="15.7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</row>
    <row r="524" customFormat="false" ht="15.7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</row>
    <row r="525" customFormat="false" ht="15.7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</row>
    <row r="526" customFormat="false" ht="15.7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</row>
    <row r="527" customFormat="false" ht="15.7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</row>
    <row r="528" customFormat="false" ht="15.7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</row>
    <row r="529" customFormat="false" ht="15.7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</row>
    <row r="530" customFormat="false" ht="15.7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</row>
    <row r="531" customFormat="false" ht="15.7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</row>
    <row r="532" customFormat="false" ht="15.7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</row>
    <row r="533" customFormat="false" ht="15.7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</row>
    <row r="534" customFormat="false" ht="15.7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</row>
    <row r="535" customFormat="false" ht="15.7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</row>
    <row r="536" customFormat="false" ht="15.7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</row>
    <row r="537" customFormat="false" ht="15.7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</row>
    <row r="538" customFormat="false" ht="15.7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</row>
    <row r="539" customFormat="false" ht="15.7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</row>
    <row r="540" customFormat="false" ht="15.7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</row>
    <row r="541" customFormat="false" ht="15.7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</row>
    <row r="542" customFormat="false" ht="15.7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</row>
    <row r="543" customFormat="false" ht="15.7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</row>
    <row r="544" customFormat="false" ht="15.7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</row>
    <row r="545" customFormat="false" ht="15.7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</row>
    <row r="546" customFormat="false" ht="15.7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</row>
    <row r="547" customFormat="false" ht="15.7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</row>
    <row r="548" customFormat="false" ht="15.7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</row>
    <row r="549" customFormat="false" ht="15.7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</row>
    <row r="550" customFormat="false" ht="15.7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</row>
    <row r="551" customFormat="false" ht="15.7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</row>
    <row r="552" customFormat="false" ht="15.7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</row>
    <row r="553" customFormat="false" ht="15.7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</row>
    <row r="554" customFormat="false" ht="15.7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</row>
    <row r="555" customFormat="false" ht="15.7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</row>
    <row r="556" customFormat="false" ht="15.7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</row>
    <row r="557" customFormat="false" ht="15.7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</row>
    <row r="558" customFormat="false" ht="15.7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</row>
    <row r="559" customFormat="false" ht="15.7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</row>
    <row r="560" customFormat="false" ht="15.7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</row>
    <row r="561" customFormat="false" ht="15.7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</row>
    <row r="562" customFormat="false" ht="15.7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</row>
    <row r="563" customFormat="false" ht="15.7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</row>
    <row r="564" customFormat="false" ht="15.7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</row>
    <row r="565" customFormat="false" ht="15.7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</row>
    <row r="566" customFormat="false" ht="15.7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</row>
    <row r="567" customFormat="false" ht="15.7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</row>
    <row r="568" customFormat="false" ht="15.7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</row>
    <row r="569" customFormat="false" ht="15.7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</row>
    <row r="570" customFormat="false" ht="15.7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</row>
    <row r="571" customFormat="false" ht="15.7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</row>
    <row r="572" customFormat="false" ht="15.7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</row>
    <row r="573" customFormat="false" ht="15.7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</row>
    <row r="574" customFormat="false" ht="15.7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</row>
    <row r="575" customFormat="false" ht="15.7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</row>
    <row r="576" customFormat="false" ht="15.7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</row>
    <row r="577" customFormat="false" ht="15.7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</row>
    <row r="578" customFormat="false" ht="15.7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</row>
    <row r="579" customFormat="false" ht="15.7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</row>
    <row r="580" customFormat="false" ht="15.7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</row>
    <row r="581" customFormat="false" ht="15.7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</row>
    <row r="582" customFormat="false" ht="15.7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</row>
    <row r="583" customFormat="false" ht="15.7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</row>
    <row r="584" customFormat="false" ht="15.7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</row>
    <row r="585" customFormat="false" ht="15.7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</row>
    <row r="586" customFormat="false" ht="15.7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</row>
    <row r="587" customFormat="false" ht="15.7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</row>
    <row r="588" customFormat="false" ht="15.7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</row>
    <row r="589" customFormat="false" ht="15.7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</row>
    <row r="590" customFormat="false" ht="15.7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</row>
    <row r="591" customFormat="false" ht="15.7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</row>
    <row r="592" customFormat="false" ht="15.7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</row>
    <row r="593" customFormat="false" ht="15.7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</row>
    <row r="594" customFormat="false" ht="15.7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</row>
    <row r="595" customFormat="false" ht="15.7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</row>
    <row r="596" customFormat="false" ht="15.7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</row>
    <row r="597" customFormat="false" ht="15.7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</row>
    <row r="598" customFormat="false" ht="15.7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</row>
    <row r="599" customFormat="false" ht="15.7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</row>
    <row r="600" customFormat="false" ht="15.7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</row>
    <row r="601" customFormat="false" ht="15.7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</row>
    <row r="602" customFormat="false" ht="15.7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</row>
    <row r="603" customFormat="false" ht="15.7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</row>
    <row r="604" customFormat="false" ht="15.7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</row>
    <row r="605" customFormat="false" ht="15.7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</row>
    <row r="606" customFormat="false" ht="15.7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</row>
    <row r="607" customFormat="false" ht="15.7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</row>
    <row r="608" customFormat="false" ht="15.7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</row>
    <row r="609" customFormat="false" ht="15.7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</row>
    <row r="610" customFormat="false" ht="15.7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</row>
    <row r="611" customFormat="false" ht="15.7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</row>
    <row r="612" customFormat="false" ht="15.7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</row>
    <row r="613" customFormat="false" ht="15.7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</row>
    <row r="614" customFormat="false" ht="15.7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</row>
    <row r="615" customFormat="false" ht="15.7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</row>
    <row r="616" customFormat="false" ht="15.7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</row>
    <row r="617" customFormat="false" ht="15.7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</row>
    <row r="618" customFormat="false" ht="15.7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</row>
    <row r="619" customFormat="false" ht="15.7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</row>
    <row r="620" customFormat="false" ht="15.7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</row>
    <row r="621" customFormat="false" ht="15.7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</row>
    <row r="622" customFormat="false" ht="15.7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</row>
    <row r="623" customFormat="false" ht="15.7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</row>
    <row r="624" customFormat="false" ht="15.7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</row>
    <row r="625" customFormat="false" ht="15.7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</row>
    <row r="626" customFormat="false" ht="15.7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</row>
    <row r="627" customFormat="false" ht="15.7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</row>
    <row r="628" customFormat="false" ht="15.7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</row>
    <row r="629" customFormat="false" ht="15.7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</row>
    <row r="630" customFormat="false" ht="15.7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</row>
    <row r="631" customFormat="false" ht="15.7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</row>
    <row r="632" customFormat="false" ht="15.7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</row>
    <row r="633" customFormat="false" ht="15.7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</row>
    <row r="634" customFormat="false" ht="15.7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</row>
    <row r="635" customFormat="false" ht="15.7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</row>
    <row r="636" customFormat="false" ht="15.7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</row>
    <row r="637" customFormat="false" ht="15.7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</row>
    <row r="638" customFormat="false" ht="15.7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</row>
    <row r="639" customFormat="false" ht="15.7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</row>
    <row r="640" customFormat="false" ht="15.7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</row>
    <row r="641" customFormat="false" ht="15.7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</row>
    <row r="642" customFormat="false" ht="15.7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</row>
    <row r="643" customFormat="false" ht="15.7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</row>
    <row r="644" customFormat="false" ht="15.7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</row>
    <row r="645" customFormat="false" ht="15.7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</row>
    <row r="646" customFormat="false" ht="15.7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</row>
    <row r="647" customFormat="false" ht="15.7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</row>
    <row r="648" customFormat="false" ht="15.7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</row>
    <row r="649" customFormat="false" ht="15.7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</row>
    <row r="650" customFormat="false" ht="15.7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</row>
    <row r="651" customFormat="false" ht="15.7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</row>
    <row r="652" customFormat="false" ht="15.7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</row>
    <row r="653" customFormat="false" ht="15.7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</row>
    <row r="654" customFormat="false" ht="15.7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</row>
    <row r="655" customFormat="false" ht="15.7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</row>
    <row r="656" customFormat="false" ht="15.7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</row>
    <row r="657" customFormat="false" ht="15.7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</row>
    <row r="658" customFormat="false" ht="15.7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</row>
    <row r="659" customFormat="false" ht="15.7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</row>
    <row r="660" customFormat="false" ht="15.7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</row>
    <row r="661" customFormat="false" ht="15.7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</row>
    <row r="662" customFormat="false" ht="15.7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</row>
    <row r="663" customFormat="false" ht="15.7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</row>
    <row r="664" customFormat="false" ht="15.7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</row>
    <row r="665" customFormat="false" ht="15.7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</row>
    <row r="666" customFormat="false" ht="15.7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</row>
    <row r="667" customFormat="false" ht="15.7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</row>
    <row r="668" customFormat="false" ht="15.7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</row>
    <row r="669" customFormat="false" ht="15.7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</row>
    <row r="670" customFormat="false" ht="15.7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</row>
    <row r="671" customFormat="false" ht="15.7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</row>
    <row r="672" customFormat="false" ht="15.7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</row>
    <row r="673" customFormat="false" ht="15.7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</row>
    <row r="674" customFormat="false" ht="15.7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</row>
    <row r="675" customFormat="false" ht="15.7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</row>
    <row r="676" customFormat="false" ht="15.7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</row>
    <row r="677" customFormat="false" ht="15.7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</row>
    <row r="678" customFormat="false" ht="15.7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</row>
    <row r="679" customFormat="false" ht="15.7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</row>
    <row r="680" customFormat="false" ht="15.7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</row>
    <row r="681" customFormat="false" ht="15.7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</row>
    <row r="682" customFormat="false" ht="15.7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</row>
    <row r="683" customFormat="false" ht="15.7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</row>
    <row r="684" customFormat="false" ht="15.7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</row>
    <row r="685" customFormat="false" ht="15.7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</row>
    <row r="686" customFormat="false" ht="15.7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</row>
    <row r="687" customFormat="false" ht="15.7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</row>
    <row r="688" customFormat="false" ht="15.7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</row>
    <row r="689" customFormat="false" ht="15.7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</row>
    <row r="690" customFormat="false" ht="15.7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</row>
    <row r="691" customFormat="false" ht="15.7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</row>
    <row r="692" customFormat="false" ht="15.7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</row>
    <row r="693" customFormat="false" ht="15.7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</row>
    <row r="694" customFormat="false" ht="15.7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</row>
    <row r="695" customFormat="false" ht="15.7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</row>
    <row r="696" customFormat="false" ht="15.7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</row>
    <row r="697" customFormat="false" ht="15.7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</row>
    <row r="698" customFormat="false" ht="15.7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</row>
    <row r="699" customFormat="false" ht="15.7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</row>
    <row r="700" customFormat="false" ht="15.7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</row>
    <row r="701" customFormat="false" ht="15.7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</row>
    <row r="702" customFormat="false" ht="15.7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</row>
    <row r="703" customFormat="false" ht="15.7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</row>
    <row r="704" customFormat="false" ht="15.7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</row>
    <row r="705" customFormat="false" ht="15.7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</row>
    <row r="706" customFormat="false" ht="15.7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</row>
    <row r="707" customFormat="false" ht="15.7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</row>
    <row r="708" customFormat="false" ht="15.7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</row>
    <row r="709" customFormat="false" ht="15.7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</row>
    <row r="710" customFormat="false" ht="15.7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</row>
    <row r="711" customFormat="false" ht="15.7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</row>
    <row r="712" customFormat="false" ht="15.7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</row>
    <row r="713" customFormat="false" ht="15.7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</row>
    <row r="714" customFormat="false" ht="15.7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</row>
    <row r="715" customFormat="false" ht="15.7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</row>
    <row r="716" customFormat="false" ht="15.7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</row>
    <row r="717" customFormat="false" ht="15.7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</row>
    <row r="718" customFormat="false" ht="15.7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</row>
    <row r="719" customFormat="false" ht="15.7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</row>
    <row r="720" customFormat="false" ht="15.7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</row>
    <row r="721" customFormat="false" ht="15.7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</row>
    <row r="722" customFormat="false" ht="15.7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</row>
    <row r="723" customFormat="false" ht="15.7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</row>
    <row r="724" customFormat="false" ht="15.7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</row>
    <row r="725" customFormat="false" ht="15.7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</row>
    <row r="726" customFormat="false" ht="15.7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</row>
    <row r="727" customFormat="false" ht="15.7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</row>
    <row r="728" customFormat="false" ht="15.7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</row>
    <row r="729" customFormat="false" ht="15.7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</row>
    <row r="730" customFormat="false" ht="15.7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</row>
    <row r="731" customFormat="false" ht="15.7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</row>
    <row r="732" customFormat="false" ht="15.7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</row>
    <row r="733" customFormat="false" ht="15.7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</row>
    <row r="734" customFormat="false" ht="15.7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</row>
    <row r="735" customFormat="false" ht="15.7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</row>
    <row r="736" customFormat="false" ht="15.7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</row>
    <row r="737" customFormat="false" ht="15.7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</row>
    <row r="738" customFormat="false" ht="15.7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</row>
    <row r="739" customFormat="false" ht="15.7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</row>
    <row r="740" customFormat="false" ht="15.7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</row>
    <row r="741" customFormat="false" ht="15.7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</row>
    <row r="742" customFormat="false" ht="15.7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</row>
    <row r="743" customFormat="false" ht="15.7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</row>
    <row r="744" customFormat="false" ht="15.7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</row>
    <row r="745" customFormat="false" ht="15.7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</row>
    <row r="746" customFormat="false" ht="15.7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</row>
    <row r="747" customFormat="false" ht="15.7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</row>
    <row r="748" customFormat="false" ht="15.7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</row>
    <row r="749" customFormat="false" ht="15.7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</row>
    <row r="750" customFormat="false" ht="15.7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</row>
    <row r="751" customFormat="false" ht="15.7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</row>
    <row r="752" customFormat="false" ht="15.7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</row>
    <row r="753" customFormat="false" ht="15.7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</row>
    <row r="754" customFormat="false" ht="15.7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</row>
    <row r="755" customFormat="false" ht="15.7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</row>
    <row r="756" customFormat="false" ht="15.7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</row>
    <row r="757" customFormat="false" ht="15.7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</row>
    <row r="758" customFormat="false" ht="15.7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</row>
    <row r="759" customFormat="false" ht="15.7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</row>
    <row r="760" customFormat="false" ht="15.7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</row>
    <row r="761" customFormat="false" ht="15.7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</row>
    <row r="762" customFormat="false" ht="15.7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</row>
    <row r="763" customFormat="false" ht="15.7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</row>
    <row r="764" customFormat="false" ht="15.7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</row>
    <row r="765" customFormat="false" ht="15.7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</row>
    <row r="766" customFormat="false" ht="15.7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</row>
    <row r="767" customFormat="false" ht="15.7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</row>
    <row r="768" customFormat="false" ht="15.7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</row>
    <row r="769" customFormat="false" ht="15.7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</row>
    <row r="770" customFormat="false" ht="15.7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</row>
    <row r="771" customFormat="false" ht="15.7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</row>
    <row r="772" customFormat="false" ht="15.7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</row>
    <row r="773" customFormat="false" ht="15.7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</row>
    <row r="774" customFormat="false" ht="15.7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</row>
    <row r="775" customFormat="false" ht="15.7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</row>
    <row r="776" customFormat="false" ht="15.7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</row>
    <row r="777" customFormat="false" ht="15.7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</row>
    <row r="778" customFormat="false" ht="15.7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</row>
    <row r="779" customFormat="false" ht="15.7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</row>
    <row r="780" customFormat="false" ht="15.7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</row>
    <row r="781" customFormat="false" ht="15.7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</row>
    <row r="782" customFormat="false" ht="15.7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</row>
    <row r="783" customFormat="false" ht="15.7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</row>
    <row r="784" customFormat="false" ht="15.7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</row>
    <row r="785" customFormat="false" ht="15.7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</row>
    <row r="786" customFormat="false" ht="15.7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</row>
    <row r="787" customFormat="false" ht="15.7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</row>
    <row r="788" customFormat="false" ht="15.7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</row>
    <row r="789" customFormat="false" ht="15.7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</row>
    <row r="790" customFormat="false" ht="15.7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</row>
    <row r="791" customFormat="false" ht="15.7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</row>
    <row r="792" customFormat="false" ht="15.7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</row>
    <row r="793" customFormat="false" ht="15.7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</row>
    <row r="794" customFormat="false" ht="15.7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</row>
    <row r="795" customFormat="false" ht="15.7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</row>
    <row r="796" customFormat="false" ht="15.7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</row>
    <row r="797" customFormat="false" ht="15.7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</row>
    <row r="798" customFormat="false" ht="15.7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</row>
    <row r="799" customFormat="false" ht="15.7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</row>
    <row r="800" customFormat="false" ht="15.7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</row>
    <row r="801" customFormat="false" ht="15.7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</row>
    <row r="802" customFormat="false" ht="15.7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</row>
    <row r="803" customFormat="false" ht="15.7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</row>
    <row r="804" customFormat="false" ht="15.7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</row>
    <row r="805" customFormat="false" ht="15.7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</row>
    <row r="806" customFormat="false" ht="15.7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</row>
    <row r="807" customFormat="false" ht="15.7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</row>
    <row r="808" customFormat="false" ht="15.7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</row>
    <row r="809" customFormat="false" ht="15.7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</row>
    <row r="810" customFormat="false" ht="15.7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</row>
    <row r="811" customFormat="false" ht="15.7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</row>
    <row r="812" customFormat="false" ht="15.7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</row>
    <row r="813" customFormat="false" ht="15.7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</row>
    <row r="814" customFormat="false" ht="15.7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</row>
    <row r="815" customFormat="false" ht="15.7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</row>
    <row r="816" customFormat="false" ht="15.7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</row>
    <row r="817" customFormat="false" ht="15.7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</row>
    <row r="818" customFormat="false" ht="15.7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</row>
    <row r="819" customFormat="false" ht="15.7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</row>
    <row r="820" customFormat="false" ht="15.7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</row>
    <row r="821" customFormat="false" ht="15.7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</row>
    <row r="822" customFormat="false" ht="15.7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</row>
    <row r="823" customFormat="false" ht="15.7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</row>
    <row r="824" customFormat="false" ht="15.7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</row>
    <row r="825" customFormat="false" ht="15.7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</row>
    <row r="826" customFormat="false" ht="15.7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</row>
    <row r="827" customFormat="false" ht="15.7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</row>
    <row r="828" customFormat="false" ht="15.7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</row>
    <row r="829" customFormat="false" ht="15.7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</row>
    <row r="830" customFormat="false" ht="15.7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</row>
    <row r="831" customFormat="false" ht="15.7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</row>
    <row r="832" customFormat="false" ht="15.7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</row>
    <row r="833" customFormat="false" ht="15.7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</row>
    <row r="834" customFormat="false" ht="15.7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</row>
    <row r="835" customFormat="false" ht="15.7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</row>
    <row r="836" customFormat="false" ht="15.7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</row>
    <row r="837" customFormat="false" ht="15.7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</row>
    <row r="838" customFormat="false" ht="15.7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</row>
    <row r="839" customFormat="false" ht="15.7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</row>
    <row r="840" customFormat="false" ht="15.7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</row>
    <row r="841" customFormat="false" ht="15.7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</row>
    <row r="842" customFormat="false" ht="15.7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</row>
    <row r="843" customFormat="false" ht="15.7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</row>
    <row r="844" customFormat="false" ht="15.7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</row>
    <row r="845" customFormat="false" ht="15.7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</row>
    <row r="846" customFormat="false" ht="15.7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</row>
    <row r="847" customFormat="false" ht="15.7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</row>
    <row r="848" customFormat="false" ht="15.7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</row>
    <row r="849" customFormat="false" ht="15.7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</row>
    <row r="850" customFormat="false" ht="15.7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</row>
    <row r="851" customFormat="false" ht="15.7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</row>
    <row r="852" customFormat="false" ht="15.7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</row>
    <row r="853" customFormat="false" ht="15.7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</row>
    <row r="854" customFormat="false" ht="15.7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</row>
    <row r="855" customFormat="false" ht="15.7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</row>
    <row r="856" customFormat="false" ht="15.7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</row>
    <row r="857" customFormat="false" ht="15.7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</row>
    <row r="858" customFormat="false" ht="15.7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</row>
    <row r="859" customFormat="false" ht="15.7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</row>
    <row r="860" customFormat="false" ht="15.7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</row>
    <row r="861" customFormat="false" ht="15.7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</row>
    <row r="862" customFormat="false" ht="15.7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</row>
    <row r="863" customFormat="false" ht="15.7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</row>
    <row r="864" customFormat="false" ht="15.7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</row>
    <row r="865" customFormat="false" ht="15.7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</row>
    <row r="866" customFormat="false" ht="15.7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</row>
    <row r="867" customFormat="false" ht="15.7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</row>
    <row r="868" customFormat="false" ht="15.7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</row>
    <row r="869" customFormat="false" ht="15.7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</row>
    <row r="870" customFormat="false" ht="15.7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</row>
    <row r="871" customFormat="false" ht="15.7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</row>
    <row r="872" customFormat="false" ht="15.7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</row>
    <row r="873" customFormat="false" ht="15.7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</row>
    <row r="874" customFormat="false" ht="15.7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</row>
    <row r="875" customFormat="false" ht="15.7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</row>
    <row r="876" customFormat="false" ht="15.7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</row>
    <row r="877" customFormat="false" ht="15.7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</row>
    <row r="878" customFormat="false" ht="15.7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</row>
    <row r="879" customFormat="false" ht="15.7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</row>
    <row r="880" customFormat="false" ht="15.7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</row>
    <row r="881" customFormat="false" ht="15.7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</row>
    <row r="882" customFormat="false" ht="15.7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</row>
    <row r="883" customFormat="false" ht="15.7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</row>
    <row r="884" customFormat="false" ht="15.7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</row>
    <row r="885" customFormat="false" ht="15.7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</row>
    <row r="886" customFormat="false" ht="15.7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</row>
    <row r="887" customFormat="false" ht="15.7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</row>
    <row r="888" customFormat="false" ht="15.7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</row>
    <row r="889" customFormat="false" ht="15.7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</row>
    <row r="890" customFormat="false" ht="15.7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</row>
    <row r="891" customFormat="false" ht="15.7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</row>
    <row r="892" customFormat="false" ht="15.7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</row>
    <row r="893" customFormat="false" ht="15.7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</row>
    <row r="894" customFormat="false" ht="15.7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</row>
    <row r="895" customFormat="false" ht="15.7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</row>
    <row r="896" customFormat="false" ht="15.7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</row>
    <row r="897" customFormat="false" ht="15.7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</row>
    <row r="898" customFormat="false" ht="15.7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</row>
    <row r="899" customFormat="false" ht="15.7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</row>
    <row r="900" customFormat="false" ht="15.7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</row>
    <row r="901" customFormat="false" ht="15.7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</row>
    <row r="902" customFormat="false" ht="15.7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</row>
    <row r="903" customFormat="false" ht="15.7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</row>
    <row r="904" customFormat="false" ht="15.7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</row>
    <row r="905" customFormat="false" ht="15.7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</row>
    <row r="906" customFormat="false" ht="15.7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</row>
    <row r="907" customFormat="false" ht="15.7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</row>
    <row r="908" customFormat="false" ht="15.7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</row>
    <row r="909" customFormat="false" ht="15.7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</row>
    <row r="910" customFormat="false" ht="15.7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</row>
    <row r="911" customFormat="false" ht="15.7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</row>
    <row r="912" customFormat="false" ht="15.7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</row>
    <row r="913" customFormat="false" ht="15.7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</row>
    <row r="914" customFormat="false" ht="15.7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</row>
    <row r="915" customFormat="false" ht="15.7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</row>
    <row r="916" customFormat="false" ht="15.7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</row>
    <row r="917" customFormat="false" ht="15.7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</row>
    <row r="918" customFormat="false" ht="15.7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</row>
    <row r="919" customFormat="false" ht="15.7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</row>
    <row r="920" customFormat="false" ht="15.7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</row>
    <row r="921" customFormat="false" ht="15.7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</row>
    <row r="922" customFormat="false" ht="15.7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</row>
    <row r="923" customFormat="false" ht="15.7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</row>
    <row r="924" customFormat="false" ht="15.7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</row>
    <row r="925" customFormat="false" ht="15.7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</row>
    <row r="926" customFormat="false" ht="15.7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</row>
    <row r="927" customFormat="false" ht="15.7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</row>
    <row r="928" customFormat="false" ht="15.7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</row>
    <row r="929" customFormat="false" ht="15.7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</row>
    <row r="930" customFormat="false" ht="15.7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</row>
    <row r="931" customFormat="false" ht="15.7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</row>
    <row r="932" customFormat="false" ht="15.7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</row>
    <row r="933" customFormat="false" ht="15.7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</row>
    <row r="934" customFormat="false" ht="15.7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</row>
    <row r="935" customFormat="false" ht="15.7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</row>
    <row r="936" customFormat="false" ht="15.7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</row>
    <row r="937" customFormat="false" ht="15.7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</row>
    <row r="938" customFormat="false" ht="15.7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</row>
    <row r="939" customFormat="false" ht="15.7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</row>
    <row r="940" customFormat="false" ht="15.7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</row>
    <row r="941" customFormat="false" ht="15.7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</row>
    <row r="942" customFormat="false" ht="15.7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</row>
    <row r="943" customFormat="false" ht="15.7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</row>
    <row r="944" customFormat="false" ht="15.7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</row>
    <row r="945" customFormat="false" ht="15.7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</row>
    <row r="946" customFormat="false" ht="15.7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</row>
    <row r="947" customFormat="false" ht="15.7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</row>
    <row r="948" customFormat="false" ht="15.7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</row>
    <row r="949" customFormat="false" ht="15.7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</row>
    <row r="950" customFormat="false" ht="15.7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</row>
    <row r="951" customFormat="false" ht="15.7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</row>
    <row r="952" customFormat="false" ht="15.7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</row>
    <row r="953" customFormat="false" ht="15.7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</row>
    <row r="954" customFormat="false" ht="15.7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</row>
    <row r="955" customFormat="false" ht="15.7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</row>
    <row r="956" customFormat="false" ht="15.7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</row>
    <row r="957" customFormat="false" ht="15.7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</row>
    <row r="958" customFormat="false" ht="15.7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</row>
    <row r="959" customFormat="false" ht="15.7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</row>
    <row r="960" customFormat="false" ht="15.7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</row>
    <row r="961" customFormat="false" ht="15.7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</row>
    <row r="962" customFormat="false" ht="15.7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</row>
    <row r="963" customFormat="false" ht="15.7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</row>
    <row r="964" customFormat="false" ht="15.7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</row>
    <row r="965" customFormat="false" ht="15.7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</row>
    <row r="966" customFormat="false" ht="15.7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</row>
    <row r="967" customFormat="false" ht="15.7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</row>
    <row r="968" customFormat="false" ht="15.7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</row>
    <row r="969" customFormat="false" ht="15.7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</row>
    <row r="970" customFormat="false" ht="15.7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</row>
    <row r="971" customFormat="false" ht="15.7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</row>
    <row r="972" customFormat="false" ht="15.7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</row>
    <row r="973" customFormat="false" ht="15.7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</row>
    <row r="974" customFormat="false" ht="15.7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</row>
    <row r="975" customFormat="false" ht="15.7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</row>
    <row r="976" customFormat="false" ht="15.7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</row>
    <row r="977" customFormat="false" ht="15.7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</row>
    <row r="978" customFormat="false" ht="15.7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</row>
    <row r="979" customFormat="false" ht="15.7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</row>
    <row r="980" customFormat="false" ht="15.7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</row>
    <row r="981" customFormat="false" ht="15.7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</row>
    <row r="982" customFormat="false" ht="15.7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</row>
    <row r="983" customFormat="false" ht="15.7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</row>
    <row r="984" customFormat="false" ht="15.7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</row>
    <row r="985" customFormat="false" ht="15.7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</row>
    <row r="986" customFormat="false" ht="15.7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</row>
    <row r="987" customFormat="false" ht="15.7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</row>
    <row r="988" customFormat="false" ht="15.7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</row>
    <row r="989" customFormat="false" ht="15.7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</row>
    <row r="990" customFormat="false" ht="15.7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</row>
    <row r="991" customFormat="false" ht="15.7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</row>
    <row r="992" customFormat="false" ht="15.7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</row>
    <row r="993" customFormat="false" ht="15.7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</row>
    <row r="994" customFormat="false" ht="15.7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</row>
    <row r="995" customFormat="false" ht="15.7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</row>
    <row r="996" customFormat="false" ht="15.7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</row>
    <row r="997" customFormat="false" ht="15.75" hidden="false" customHeight="true" outlineLevel="0" collapsed="false">
      <c r="A997" s="2"/>
      <c r="B997" s="2"/>
      <c r="C997" s="2"/>
      <c r="D997" s="2"/>
      <c r="E997" s="2"/>
      <c r="F997" s="2"/>
      <c r="G997" s="2"/>
      <c r="H997" s="2"/>
    </row>
    <row r="998" customFormat="false" ht="15.75" hidden="false" customHeight="true" outlineLevel="0" collapsed="false">
      <c r="A998" s="2"/>
      <c r="B998" s="2"/>
      <c r="C998" s="2"/>
      <c r="D998" s="2"/>
      <c r="E998" s="2"/>
      <c r="F998" s="2"/>
      <c r="G998" s="2"/>
      <c r="H998" s="2"/>
    </row>
    <row r="999" customFormat="false" ht="15.75" hidden="false" customHeight="true" outlineLevel="0" collapsed="false">
      <c r="A999" s="2"/>
      <c r="B999" s="2"/>
      <c r="C999" s="2"/>
      <c r="D999" s="2"/>
      <c r="E999" s="2"/>
      <c r="F999" s="2"/>
      <c r="G999" s="2"/>
      <c r="H999" s="2"/>
    </row>
    <row r="1000" customFormat="false" ht="15.75" hidden="false" customHeight="true" outlineLevel="0" collapsed="false">
      <c r="A1000" s="2"/>
      <c r="B1000" s="2"/>
      <c r="C1000" s="2"/>
      <c r="D1000" s="2"/>
      <c r="E1000" s="2"/>
      <c r="F1000" s="2"/>
      <c r="G1000" s="2"/>
      <c r="H1000" s="2"/>
    </row>
  </sheetData>
  <mergeCells count="22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1:G31"/>
    <mergeCell ref="B32:H32"/>
    <mergeCell ref="D34:H34"/>
    <mergeCell ref="B39:G39"/>
    <mergeCell ref="B40:G40"/>
    <mergeCell ref="B41:G41"/>
    <mergeCell ref="B43:G43"/>
    <mergeCell ref="B44:G44"/>
    <mergeCell ref="B45:G45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9.7" hidden="false" customHeight="false" outlineLevel="0" collapsed="false">
      <c r="A2" s="2"/>
      <c r="B2" s="3" t="s">
        <v>864</v>
      </c>
      <c r="C2" s="3"/>
      <c r="D2" s="3"/>
      <c r="E2" s="3"/>
      <c r="F2" s="3"/>
      <c r="G2" s="3"/>
      <c r="H2" s="3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2"/>
      <c r="B4" s="4" t="s">
        <v>785</v>
      </c>
      <c r="C4" s="14" t="s">
        <v>859</v>
      </c>
      <c r="D4" s="14"/>
      <c r="E4" s="14"/>
      <c r="F4" s="14"/>
      <c r="G4" s="14"/>
      <c r="H4" s="14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15" hidden="false" customHeight="false" outlineLevel="0" collapsed="false">
      <c r="A5" s="2"/>
      <c r="B5" s="4" t="s">
        <v>787</v>
      </c>
      <c r="C5" s="14" t="s">
        <v>865</v>
      </c>
      <c r="D5" s="14"/>
      <c r="E5" s="14"/>
      <c r="F5" s="14"/>
      <c r="G5" s="14"/>
      <c r="H5" s="14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15" hidden="false" customHeight="false" outlineLevel="0" collapsed="false">
      <c r="A6" s="2"/>
      <c r="B6" s="4" t="s">
        <v>18</v>
      </c>
      <c r="C6" s="14" t="s">
        <v>826</v>
      </c>
      <c r="D6" s="14"/>
      <c r="E6" s="14"/>
      <c r="F6" s="14"/>
      <c r="G6" s="14"/>
      <c r="H6" s="14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15" hidden="false" customHeight="false" outlineLevel="0" collapsed="false">
      <c r="A7" s="2"/>
      <c r="B7" s="4" t="s">
        <v>790</v>
      </c>
      <c r="C7" s="14" t="s">
        <v>861</v>
      </c>
      <c r="D7" s="14"/>
      <c r="E7" s="14"/>
      <c r="F7" s="14"/>
      <c r="G7" s="14"/>
      <c r="H7" s="14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15" hidden="false" customHeight="false" outlineLevel="0" collapsed="false">
      <c r="A8" s="2"/>
      <c r="B8" s="4" t="s">
        <v>792</v>
      </c>
      <c r="C8" s="32" t="n">
        <f aca="false">RINGKASAN!$K$25</f>
        <v>104791913</v>
      </c>
      <c r="D8" s="32"/>
      <c r="E8" s="32"/>
      <c r="F8" s="32"/>
      <c r="G8" s="32"/>
      <c r="H8" s="3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15" hidden="false" customHeight="false" outlineLevel="0" collapsed="false">
      <c r="A9" s="2"/>
      <c r="B9" s="4" t="s">
        <v>81</v>
      </c>
      <c r="C9" s="14" t="s">
        <v>793</v>
      </c>
      <c r="D9" s="14"/>
      <c r="E9" s="14"/>
      <c r="F9" s="14"/>
      <c r="G9" s="14"/>
      <c r="H9" s="14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15" hidden="false" customHeight="false" outlineLevel="0" collapsed="false">
      <c r="A10" s="2"/>
      <c r="B10" s="4" t="s">
        <v>9</v>
      </c>
      <c r="C10" s="14" t="s">
        <v>10</v>
      </c>
      <c r="D10" s="14"/>
      <c r="E10" s="14"/>
      <c r="F10" s="14"/>
      <c r="G10" s="14"/>
      <c r="H10" s="14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21.75" hidden="false" customHeight="true" outlineLevel="0" collapsed="false">
      <c r="A12" s="2"/>
      <c r="B12" s="15" t="s">
        <v>794</v>
      </c>
      <c r="C12" s="15"/>
      <c r="D12" s="15"/>
      <c r="E12" s="15"/>
      <c r="F12" s="15"/>
      <c r="G12" s="15"/>
      <c r="H12" s="15"/>
    </row>
    <row r="13" customFormat="false" ht="27.75" hidden="false" customHeight="true" outlineLevel="0" collapsed="false">
      <c r="A13" s="2"/>
      <c r="B13" s="7" t="s">
        <v>16</v>
      </c>
      <c r="C13" s="7" t="s">
        <v>795</v>
      </c>
      <c r="D13" s="7" t="s">
        <v>796</v>
      </c>
      <c r="E13" s="7" t="s">
        <v>797</v>
      </c>
      <c r="F13" s="7" t="s">
        <v>89</v>
      </c>
      <c r="G13" s="7" t="s">
        <v>90</v>
      </c>
      <c r="H13" s="7" t="s">
        <v>798</v>
      </c>
    </row>
    <row r="14" customFormat="false" ht="21.75" hidden="false" customHeight="true" outlineLevel="0" collapsed="false">
      <c r="A14" s="2"/>
      <c r="B14" s="33" t="s">
        <v>799</v>
      </c>
      <c r="C14" s="34" t="s">
        <v>800</v>
      </c>
      <c r="D14" s="35"/>
      <c r="E14" s="35"/>
      <c r="F14" s="35"/>
      <c r="G14" s="35"/>
      <c r="H14" s="35"/>
    </row>
    <row r="15" customFormat="false" ht="36" hidden="false" customHeight="true" outlineLevel="0" collapsed="false">
      <c r="A15" s="2"/>
      <c r="B15" s="9" t="s">
        <v>801</v>
      </c>
      <c r="C15" s="17" t="s">
        <v>108</v>
      </c>
      <c r="D15" s="36" t="n">
        <v>45</v>
      </c>
      <c r="E15" s="36" t="n">
        <v>45</v>
      </c>
      <c r="F15" s="18" t="s">
        <v>94</v>
      </c>
      <c r="G15" s="8" t="n">
        <f aca="false">'Master of Price'!$G$19</f>
        <v>352000</v>
      </c>
      <c r="H15" s="8" t="n">
        <f aca="false">E15*G15</f>
        <v>15840000</v>
      </c>
    </row>
    <row r="16" customFormat="false" ht="27.75" hidden="false" customHeight="true" outlineLevel="0" collapsed="false">
      <c r="A16" s="2"/>
      <c r="B16" s="9" t="s">
        <v>802</v>
      </c>
      <c r="C16" s="17" t="s">
        <v>96</v>
      </c>
      <c r="D16" s="36" t="n">
        <v>45</v>
      </c>
      <c r="E16" s="36" t="n">
        <v>45</v>
      </c>
      <c r="F16" s="18" t="s">
        <v>94</v>
      </c>
      <c r="G16" s="8" t="n">
        <f aca="false">'Master of Price'!$G$13</f>
        <v>100000</v>
      </c>
      <c r="H16" s="8" t="n">
        <f aca="false">E16*G16</f>
        <v>4500000</v>
      </c>
    </row>
    <row r="17" customFormat="false" ht="27.75" hidden="false" customHeight="true" outlineLevel="0" collapsed="false">
      <c r="A17" s="2"/>
      <c r="B17" s="9" t="s">
        <v>803</v>
      </c>
      <c r="C17" s="17" t="s">
        <v>98</v>
      </c>
      <c r="D17" s="36" t="n">
        <v>45</v>
      </c>
      <c r="E17" s="36" t="n">
        <v>45</v>
      </c>
      <c r="F17" s="18" t="s">
        <v>94</v>
      </c>
      <c r="G17" s="8" t="n">
        <f aca="false">'Master of Price'!$G$14</f>
        <v>28000</v>
      </c>
      <c r="H17" s="8" t="n">
        <f aca="false">E17*G17</f>
        <v>1260000</v>
      </c>
    </row>
    <row r="18" customFormat="false" ht="27.75" hidden="false" customHeight="true" outlineLevel="0" collapsed="false">
      <c r="A18" s="2"/>
      <c r="B18" s="9" t="s">
        <v>804</v>
      </c>
      <c r="C18" s="17" t="s">
        <v>100</v>
      </c>
      <c r="D18" s="36" t="n">
        <v>45</v>
      </c>
      <c r="E18" s="36" t="n">
        <v>45</v>
      </c>
      <c r="F18" s="18" t="s">
        <v>94</v>
      </c>
      <c r="G18" s="8" t="n">
        <f aca="false">'Master of Price'!$G$15</f>
        <v>45000</v>
      </c>
      <c r="H18" s="8" t="n">
        <f aca="false">E18*G18</f>
        <v>2025000</v>
      </c>
    </row>
    <row r="19" customFormat="false" ht="27.75" hidden="false" customHeight="true" outlineLevel="0" collapsed="false">
      <c r="A19" s="2"/>
      <c r="B19" s="9" t="s">
        <v>805</v>
      </c>
      <c r="C19" s="17" t="s">
        <v>102</v>
      </c>
      <c r="D19" s="36" t="n">
        <v>45</v>
      </c>
      <c r="E19" s="36" t="n">
        <v>45</v>
      </c>
      <c r="F19" s="18" t="s">
        <v>94</v>
      </c>
      <c r="G19" s="8" t="n">
        <f aca="false">'Master of Price'!$G$16</f>
        <v>75000</v>
      </c>
      <c r="H19" s="8" t="n">
        <f aca="false">E19*G19</f>
        <v>3375000</v>
      </c>
    </row>
    <row r="20" customFormat="false" ht="25.5" hidden="false" customHeight="true" outlineLevel="0" collapsed="false">
      <c r="A20" s="2"/>
      <c r="B20" s="23" t="s">
        <v>806</v>
      </c>
      <c r="C20" s="23"/>
      <c r="D20" s="23"/>
      <c r="E20" s="23"/>
      <c r="F20" s="23"/>
      <c r="G20" s="23"/>
      <c r="H20" s="11" t="n">
        <f aca="false">SUM(H15:H19)</f>
        <v>27000000</v>
      </c>
    </row>
    <row r="21" customFormat="false" ht="21.75" hidden="false" customHeight="true" outlineLevel="0" collapsed="false">
      <c r="A21" s="2"/>
      <c r="B21" s="15" t="s">
        <v>807</v>
      </c>
      <c r="C21" s="15"/>
      <c r="D21" s="15"/>
      <c r="E21" s="15"/>
      <c r="F21" s="15"/>
      <c r="G21" s="15"/>
      <c r="H21" s="15"/>
    </row>
    <row r="22" customFormat="false" ht="27.75" hidden="false" customHeight="true" outlineLevel="0" collapsed="false">
      <c r="A22" s="2"/>
      <c r="B22" s="7" t="s">
        <v>16</v>
      </c>
      <c r="C22" s="7" t="s">
        <v>795</v>
      </c>
      <c r="D22" s="7" t="s">
        <v>796</v>
      </c>
      <c r="E22" s="7" t="s">
        <v>797</v>
      </c>
      <c r="F22" s="7" t="s">
        <v>89</v>
      </c>
      <c r="G22" s="7" t="s">
        <v>90</v>
      </c>
      <c r="H22" s="7" t="s">
        <v>798</v>
      </c>
    </row>
    <row r="23" customFormat="false" ht="21.75" hidden="false" customHeight="true" outlineLevel="0" collapsed="false">
      <c r="A23" s="2"/>
      <c r="B23" s="33" t="s">
        <v>808</v>
      </c>
      <c r="C23" s="34" t="s">
        <v>809</v>
      </c>
      <c r="D23" s="35"/>
      <c r="E23" s="35"/>
      <c r="F23" s="35"/>
      <c r="G23" s="35"/>
      <c r="H23" s="35"/>
    </row>
    <row r="24" customFormat="false" ht="27.75" hidden="false" customHeight="true" outlineLevel="0" collapsed="false">
      <c r="A24" s="2"/>
      <c r="B24" s="9" t="s">
        <v>810</v>
      </c>
      <c r="C24" s="17" t="s">
        <v>116</v>
      </c>
      <c r="D24" s="36" t="n">
        <v>5.07</v>
      </c>
      <c r="E24" s="36" t="n">
        <v>5.07</v>
      </c>
      <c r="F24" s="18" t="s">
        <v>114</v>
      </c>
      <c r="G24" s="8" t="n">
        <f aca="false">'Master of Price'!$G$22</f>
        <v>47500</v>
      </c>
      <c r="H24" s="8" t="n">
        <f aca="false">E24*G24</f>
        <v>240825</v>
      </c>
    </row>
    <row r="25" customFormat="false" ht="21.75" hidden="false" customHeight="true" outlineLevel="0" collapsed="false">
      <c r="A25" s="2"/>
      <c r="B25" s="9" t="s">
        <v>828</v>
      </c>
      <c r="C25" s="17" t="s">
        <v>118</v>
      </c>
      <c r="D25" s="36" t="n">
        <v>0.39</v>
      </c>
      <c r="E25" s="36" t="n">
        <v>0.39</v>
      </c>
      <c r="F25" s="18" t="s">
        <v>114</v>
      </c>
      <c r="G25" s="8" t="n">
        <f aca="false">'Master of Price'!$G$23</f>
        <v>90000</v>
      </c>
      <c r="H25" s="8" t="n">
        <f aca="false">E25*G25</f>
        <v>35100</v>
      </c>
    </row>
    <row r="26" customFormat="false" ht="21.75" hidden="false" customHeight="true" outlineLevel="0" collapsed="false">
      <c r="A26" s="2"/>
      <c r="B26" s="9" t="s">
        <v>829</v>
      </c>
      <c r="C26" s="17" t="s">
        <v>120</v>
      </c>
      <c r="D26" s="36" t="n">
        <v>0.08</v>
      </c>
      <c r="E26" s="36" t="n">
        <v>0.08</v>
      </c>
      <c r="F26" s="18" t="s">
        <v>114</v>
      </c>
      <c r="G26" s="8" t="n">
        <f aca="false">'Master of Price'!$G$24</f>
        <v>130000</v>
      </c>
      <c r="H26" s="8" t="n">
        <f aca="false">E26*G26</f>
        <v>10400</v>
      </c>
    </row>
    <row r="27" customFormat="false" ht="27.75" hidden="false" customHeight="true" outlineLevel="0" collapsed="false">
      <c r="A27" s="2"/>
      <c r="B27" s="9" t="s">
        <v>830</v>
      </c>
      <c r="C27" s="17" t="s">
        <v>122</v>
      </c>
      <c r="D27" s="36" t="n">
        <v>3.9</v>
      </c>
      <c r="E27" s="36" t="n">
        <v>3.9</v>
      </c>
      <c r="F27" s="18" t="s">
        <v>114</v>
      </c>
      <c r="G27" s="8" t="n">
        <f aca="false">'Master of Price'!$G$25</f>
        <v>700000</v>
      </c>
      <c r="H27" s="8" t="n">
        <f aca="false">E27*G27</f>
        <v>2730000</v>
      </c>
    </row>
    <row r="28" customFormat="false" ht="36" hidden="false" customHeight="true" outlineLevel="0" collapsed="false">
      <c r="A28" s="2"/>
      <c r="B28" s="9" t="s">
        <v>831</v>
      </c>
      <c r="C28" s="17" t="s">
        <v>124</v>
      </c>
      <c r="D28" s="36" t="n">
        <v>0.975</v>
      </c>
      <c r="E28" s="36" t="n">
        <v>0.975</v>
      </c>
      <c r="F28" s="18" t="s">
        <v>114</v>
      </c>
      <c r="G28" s="8" t="n">
        <f aca="false">'Master of Price'!$G$26</f>
        <v>1000000</v>
      </c>
      <c r="H28" s="8" t="n">
        <f aca="false">E28*G28</f>
        <v>975000</v>
      </c>
    </row>
    <row r="29" customFormat="false" ht="36" hidden="false" customHeight="true" outlineLevel="0" collapsed="false">
      <c r="A29" s="2"/>
      <c r="B29" s="9" t="s">
        <v>832</v>
      </c>
      <c r="C29" s="17" t="s">
        <v>113</v>
      </c>
      <c r="D29" s="36" t="n">
        <v>0.1</v>
      </c>
      <c r="E29" s="36" t="n">
        <v>0.1</v>
      </c>
      <c r="F29" s="18" t="s">
        <v>114</v>
      </c>
      <c r="G29" s="8" t="n">
        <f aca="false">'Master of Price'!$G$21</f>
        <v>1000000</v>
      </c>
      <c r="H29" s="8" t="n">
        <f aca="false">E29*G29</f>
        <v>100000</v>
      </c>
    </row>
    <row r="30" customFormat="false" ht="36" hidden="false" customHeight="true" outlineLevel="0" collapsed="false">
      <c r="A30" s="2"/>
      <c r="B30" s="9" t="s">
        <v>833</v>
      </c>
      <c r="C30" s="17" t="s">
        <v>128</v>
      </c>
      <c r="D30" s="36" t="n">
        <v>1</v>
      </c>
      <c r="E30" s="36" t="n">
        <v>1</v>
      </c>
      <c r="F30" s="18" t="s">
        <v>129</v>
      </c>
      <c r="G30" s="8" t="n">
        <f aca="false">'Master of Price'!$G$28</f>
        <v>4500000</v>
      </c>
      <c r="H30" s="8" t="n">
        <f aca="false">E30*G30</f>
        <v>4500000</v>
      </c>
    </row>
    <row r="31" customFormat="false" ht="25.5" hidden="false" customHeight="true" outlineLevel="0" collapsed="false">
      <c r="A31" s="2"/>
      <c r="B31" s="23" t="s">
        <v>811</v>
      </c>
      <c r="C31" s="23"/>
      <c r="D31" s="23"/>
      <c r="E31" s="23"/>
      <c r="F31" s="23"/>
      <c r="G31" s="23"/>
      <c r="H31" s="11" t="n">
        <f aca="false">SUM(H24:H30)</f>
        <v>8591325</v>
      </c>
    </row>
    <row r="32" customFormat="false" ht="21.75" hidden="false" customHeight="true" outlineLevel="0" collapsed="false">
      <c r="A32" s="2"/>
      <c r="B32" s="15" t="s">
        <v>834</v>
      </c>
      <c r="C32" s="15"/>
      <c r="D32" s="15"/>
      <c r="E32" s="15"/>
      <c r="F32" s="15"/>
      <c r="G32" s="15"/>
      <c r="H32" s="15"/>
    </row>
    <row r="33" customFormat="false" ht="27.75" hidden="false" customHeight="true" outlineLevel="0" collapsed="false">
      <c r="A33" s="2"/>
      <c r="B33" s="7" t="s">
        <v>16</v>
      </c>
      <c r="C33" s="7" t="s">
        <v>795</v>
      </c>
      <c r="D33" s="7" t="s">
        <v>796</v>
      </c>
      <c r="E33" s="7" t="s">
        <v>797</v>
      </c>
      <c r="F33" s="7" t="s">
        <v>89</v>
      </c>
      <c r="G33" s="7" t="s">
        <v>90</v>
      </c>
      <c r="H33" s="7" t="s">
        <v>798</v>
      </c>
    </row>
    <row r="34" customFormat="false" ht="21.75" hidden="false" customHeight="true" outlineLevel="0" collapsed="false">
      <c r="A34" s="2"/>
      <c r="B34" s="33" t="s">
        <v>813</v>
      </c>
      <c r="C34" s="34" t="s">
        <v>835</v>
      </c>
      <c r="D34" s="35"/>
      <c r="E34" s="35"/>
      <c r="F34" s="35"/>
      <c r="G34" s="35"/>
      <c r="H34" s="35"/>
    </row>
    <row r="35" customFormat="false" ht="36" hidden="false" customHeight="true" outlineLevel="0" collapsed="false">
      <c r="A35" s="2"/>
      <c r="B35" s="9" t="s">
        <v>815</v>
      </c>
      <c r="C35" s="17" t="s">
        <v>132</v>
      </c>
      <c r="D35" s="36" t="n">
        <v>1</v>
      </c>
      <c r="E35" s="36" t="n">
        <v>1</v>
      </c>
      <c r="F35" s="18" t="s">
        <v>133</v>
      </c>
      <c r="G35" s="8" t="n">
        <f aca="false">'Master of Price'!$G$29</f>
        <v>24000000</v>
      </c>
      <c r="H35" s="8" t="n">
        <f aca="false">E35*G35</f>
        <v>24000000</v>
      </c>
    </row>
    <row r="36" customFormat="false" ht="27.75" hidden="false" customHeight="true" outlineLevel="0" collapsed="false">
      <c r="A36" s="2"/>
      <c r="B36" s="9" t="s">
        <v>816</v>
      </c>
      <c r="C36" s="17" t="s">
        <v>135</v>
      </c>
      <c r="D36" s="36" t="n">
        <v>1</v>
      </c>
      <c r="E36" s="36" t="n">
        <v>1</v>
      </c>
      <c r="F36" s="18" t="s">
        <v>136</v>
      </c>
      <c r="G36" s="8" t="n">
        <f aca="false">'Master of Price'!$G$30</f>
        <v>1500000</v>
      </c>
      <c r="H36" s="8" t="n">
        <f aca="false">E36*G36</f>
        <v>1500000</v>
      </c>
    </row>
    <row r="37" customFormat="false" ht="36" hidden="false" customHeight="true" outlineLevel="0" collapsed="false">
      <c r="A37" s="2"/>
      <c r="B37" s="9" t="s">
        <v>836</v>
      </c>
      <c r="C37" s="17" t="s">
        <v>138</v>
      </c>
      <c r="D37" s="36" t="n">
        <v>5</v>
      </c>
      <c r="E37" s="36" t="n">
        <v>5</v>
      </c>
      <c r="F37" s="18" t="s">
        <v>133</v>
      </c>
      <c r="G37" s="8" t="n">
        <f aca="false">'Master of Price'!$G$31</f>
        <v>2100000</v>
      </c>
      <c r="H37" s="8" t="n">
        <f aca="false">E37*G37</f>
        <v>10500000</v>
      </c>
    </row>
    <row r="38" customFormat="false" ht="36" hidden="false" customHeight="true" outlineLevel="0" collapsed="false">
      <c r="A38" s="2"/>
      <c r="B38" s="9" t="s">
        <v>837</v>
      </c>
      <c r="C38" s="17" t="s">
        <v>140</v>
      </c>
      <c r="D38" s="36" t="n">
        <v>1</v>
      </c>
      <c r="E38" s="36" t="n">
        <v>1</v>
      </c>
      <c r="F38" s="18" t="s">
        <v>136</v>
      </c>
      <c r="G38" s="8" t="n">
        <f aca="false">'Master of Price'!$G$32</f>
        <v>2500000</v>
      </c>
      <c r="H38" s="8" t="n">
        <f aca="false">E38*G38</f>
        <v>2500000</v>
      </c>
    </row>
    <row r="39" customFormat="false" ht="25.5" hidden="false" customHeight="true" outlineLevel="0" collapsed="false">
      <c r="A39" s="2"/>
      <c r="B39" s="23" t="s">
        <v>838</v>
      </c>
      <c r="C39" s="23"/>
      <c r="D39" s="23"/>
      <c r="E39" s="23"/>
      <c r="F39" s="23"/>
      <c r="G39" s="23"/>
      <c r="H39" s="11" t="n">
        <f aca="false">SUM(H35:H38)</f>
        <v>38500000</v>
      </c>
    </row>
    <row r="40" customFormat="false" ht="21.75" hidden="false" customHeight="true" outlineLevel="0" collapsed="false">
      <c r="A40" s="2"/>
      <c r="B40" s="37" t="s">
        <v>818</v>
      </c>
      <c r="C40" s="37"/>
      <c r="D40" s="37"/>
      <c r="E40" s="37"/>
      <c r="F40" s="37"/>
      <c r="G40" s="37"/>
      <c r="H40" s="38" t="n">
        <f aca="false">H43-(H20+H31+H39)</f>
        <v>30700588</v>
      </c>
    </row>
    <row r="41" customFormat="false" ht="27.75" hidden="false" customHeight="true" outlineLevel="0" collapsed="false">
      <c r="A41" s="2"/>
      <c r="B41" s="10" t="s">
        <v>819</v>
      </c>
      <c r="C41" s="10"/>
      <c r="D41" s="10"/>
      <c r="E41" s="10"/>
      <c r="F41" s="10"/>
      <c r="G41" s="10"/>
      <c r="H41" s="39" t="n">
        <f aca="false">H20+H31+H39+H40</f>
        <v>104791913</v>
      </c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</row>
    <row r="43" customFormat="false" ht="21.75" hidden="false" customHeight="true" outlineLevel="0" collapsed="false">
      <c r="A43" s="2"/>
      <c r="B43" s="21" t="s">
        <v>820</v>
      </c>
      <c r="C43" s="21"/>
      <c r="D43" s="21"/>
      <c r="E43" s="21"/>
      <c r="F43" s="21"/>
      <c r="G43" s="21"/>
      <c r="H43" s="40" t="n">
        <f aca="false">RINGKASAN!$K$25</f>
        <v>104791913</v>
      </c>
    </row>
    <row r="44" customFormat="false" ht="21.75" hidden="false" customHeight="true" outlineLevel="0" collapsed="false">
      <c r="A44" s="2"/>
      <c r="B44" s="41" t="s">
        <v>821</v>
      </c>
      <c r="C44" s="41"/>
      <c r="D44" s="41"/>
      <c r="E44" s="41"/>
      <c r="F44" s="41"/>
      <c r="G44" s="41"/>
      <c r="H44" s="8" t="n">
        <f aca="false">H41-H43</f>
        <v>0</v>
      </c>
    </row>
    <row r="45" customFormat="false" ht="21.75" hidden="false" customHeight="true" outlineLevel="0" collapsed="false">
      <c r="A45" s="2"/>
      <c r="B45" s="42" t="s">
        <v>822</v>
      </c>
      <c r="C45" s="42"/>
      <c r="D45" s="42"/>
      <c r="E45" s="42"/>
      <c r="F45" s="42"/>
      <c r="G45" s="42"/>
      <c r="H45" s="37" t="str">
        <f aca="false">IF(H40&lt;0,"OVER BUDGET","OK")</f>
        <v>OK</v>
      </c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</row>
    <row r="61" customFormat="false" ht="15" hidden="false" customHeight="false" outlineLevel="0" collapsed="false">
      <c r="A61" s="2"/>
      <c r="B61" s="2"/>
      <c r="C61" s="2"/>
      <c r="D61" s="2"/>
      <c r="E61" s="2"/>
      <c r="F61" s="2"/>
      <c r="G61" s="2"/>
      <c r="H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  <c r="G62" s="2"/>
      <c r="H62" s="2"/>
    </row>
    <row r="63" customFormat="false" ht="15" hidden="false" customHeight="false" outlineLevel="0" collapsed="false">
      <c r="A63" s="2"/>
      <c r="B63" s="2"/>
      <c r="C63" s="2"/>
      <c r="D63" s="2"/>
      <c r="E63" s="2"/>
      <c r="F63" s="2"/>
      <c r="G63" s="2"/>
      <c r="H63" s="2"/>
    </row>
    <row r="64" customFormat="false" ht="15" hidden="false" customHeight="false" outlineLevel="0" collapsed="false">
      <c r="A64" s="2"/>
      <c r="B64" s="2"/>
      <c r="C64" s="2"/>
      <c r="D64" s="2"/>
      <c r="E64" s="2"/>
      <c r="F64" s="2"/>
      <c r="G64" s="2"/>
      <c r="H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</row>
    <row r="66" customFormat="false" ht="15" hidden="false" customHeight="false" outlineLevel="0" collapsed="false">
      <c r="A66" s="2"/>
      <c r="B66" s="2"/>
      <c r="C66" s="2"/>
      <c r="D66" s="2"/>
      <c r="E66" s="2"/>
      <c r="F66" s="2"/>
      <c r="G66" s="2"/>
      <c r="H66" s="2"/>
    </row>
    <row r="67" customFormat="false" ht="15" hidden="false" customHeight="false" outlineLevel="0" collapsed="false">
      <c r="A67" s="2"/>
      <c r="B67" s="2"/>
      <c r="C67" s="2"/>
      <c r="D67" s="2"/>
      <c r="E67" s="2"/>
      <c r="F67" s="2"/>
      <c r="G67" s="2"/>
      <c r="H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"/>
      <c r="H70" s="2"/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</row>
    <row r="250" customFormat="false" ht="15.7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</row>
    <row r="251" customFormat="false" ht="15.7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</row>
    <row r="252" customFormat="false" ht="15.7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</row>
    <row r="253" customFormat="false" ht="15.7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</row>
    <row r="254" customFormat="false" ht="15.7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</row>
    <row r="255" customFormat="false" ht="15.7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</row>
    <row r="256" customFormat="false" ht="15.7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</row>
    <row r="257" customFormat="false" ht="15.7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</row>
    <row r="258" customFormat="false" ht="15.7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</row>
    <row r="259" customFormat="false" ht="15.7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</row>
    <row r="260" customFormat="false" ht="15.7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</row>
    <row r="261" customFormat="false" ht="15.7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</row>
    <row r="262" customFormat="false" ht="15.7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</row>
    <row r="263" customFormat="false" ht="15.7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</row>
    <row r="264" customFormat="false" ht="15.7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</row>
    <row r="265" customFormat="false" ht="15.7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</row>
    <row r="266" customFormat="false" ht="15.7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</row>
    <row r="267" customFormat="false" ht="15.7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</row>
    <row r="268" customFormat="false" ht="15.7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</row>
    <row r="269" customFormat="false" ht="15.7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</row>
    <row r="270" customFormat="false" ht="15.7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</row>
    <row r="271" customFormat="false" ht="15.7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</row>
    <row r="272" customFormat="false" ht="15.7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</row>
    <row r="273" customFormat="false" ht="15.7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</row>
    <row r="274" customFormat="false" ht="15.7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</row>
    <row r="275" customFormat="false" ht="15.7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</row>
    <row r="276" customFormat="false" ht="15.7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</row>
    <row r="277" customFormat="false" ht="15.7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</row>
    <row r="278" customFormat="false" ht="15.7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</row>
    <row r="279" customFormat="false" ht="15.7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</row>
    <row r="280" customFormat="false" ht="15.7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</row>
    <row r="281" customFormat="false" ht="15.7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</row>
    <row r="282" customFormat="false" ht="15.7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</row>
    <row r="283" customFormat="false" ht="15.7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</row>
    <row r="284" customFormat="false" ht="15.7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</row>
    <row r="285" customFormat="false" ht="15.7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</row>
    <row r="286" customFormat="false" ht="15.7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</row>
    <row r="287" customFormat="false" ht="15.7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</row>
    <row r="288" customFormat="false" ht="15.7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</row>
    <row r="289" customFormat="false" ht="15.7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</row>
    <row r="290" customFormat="false" ht="15.7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</row>
    <row r="291" customFormat="false" ht="15.7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</row>
    <row r="292" customFormat="false" ht="15.7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</row>
    <row r="293" customFormat="false" ht="15.7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</row>
    <row r="294" customFormat="false" ht="15.7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</row>
    <row r="295" customFormat="false" ht="15.7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</row>
    <row r="296" customFormat="false" ht="15.7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</row>
    <row r="297" customFormat="false" ht="15.7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</row>
    <row r="298" customFormat="false" ht="15.7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</row>
    <row r="299" customFormat="false" ht="15.7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</row>
    <row r="300" customFormat="false" ht="15.7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</row>
    <row r="301" customFormat="false" ht="15.7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</row>
    <row r="302" customFormat="false" ht="15.7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</row>
    <row r="303" customFormat="false" ht="15.7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</row>
    <row r="304" customFormat="false" ht="15.7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</row>
    <row r="305" customFormat="false" ht="15.7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</row>
    <row r="306" customFormat="false" ht="15.7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</row>
    <row r="307" customFormat="false" ht="15.7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</row>
    <row r="308" customFormat="false" ht="15.7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</row>
    <row r="309" customFormat="false" ht="15.7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</row>
    <row r="310" customFormat="false" ht="15.7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</row>
    <row r="311" customFormat="false" ht="15.7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</row>
    <row r="312" customFormat="false" ht="15.7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</row>
    <row r="313" customFormat="false" ht="15.7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</row>
    <row r="314" customFormat="false" ht="15.7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</row>
    <row r="315" customFormat="false" ht="15.7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</row>
    <row r="316" customFormat="false" ht="15.7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</row>
    <row r="317" customFormat="false" ht="15.7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</row>
    <row r="318" customFormat="false" ht="15.7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</row>
    <row r="319" customFormat="false" ht="15.7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</row>
    <row r="320" customFormat="false" ht="15.7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</row>
    <row r="321" customFormat="false" ht="15.7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</row>
    <row r="322" customFormat="false" ht="15.7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</row>
    <row r="323" customFormat="false" ht="15.7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</row>
    <row r="324" customFormat="false" ht="15.7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</row>
    <row r="325" customFormat="false" ht="15.7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</row>
    <row r="326" customFormat="false" ht="15.7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</row>
    <row r="327" customFormat="false" ht="15.7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</row>
    <row r="328" customFormat="false" ht="15.7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</row>
    <row r="329" customFormat="false" ht="15.7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</row>
    <row r="330" customFormat="false" ht="15.7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</row>
    <row r="331" customFormat="false" ht="15.7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</row>
    <row r="332" customFormat="false" ht="15.7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</row>
    <row r="333" customFormat="false" ht="15.7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</row>
    <row r="334" customFormat="false" ht="15.7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</row>
    <row r="335" customFormat="false" ht="15.7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</row>
    <row r="336" customFormat="false" ht="15.7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</row>
    <row r="337" customFormat="false" ht="15.7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</row>
    <row r="338" customFormat="false" ht="15.7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</row>
    <row r="339" customFormat="false" ht="15.7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</row>
    <row r="340" customFormat="false" ht="15.7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</row>
    <row r="341" customFormat="false" ht="15.7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</row>
    <row r="342" customFormat="false" ht="15.7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</row>
    <row r="343" customFormat="false" ht="15.7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</row>
    <row r="344" customFormat="false" ht="15.7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</row>
    <row r="345" customFormat="false" ht="15.7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</row>
    <row r="346" customFormat="false" ht="15.7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</row>
    <row r="347" customFormat="false" ht="15.7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</row>
    <row r="348" customFormat="false" ht="15.7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</row>
    <row r="349" customFormat="false" ht="15.7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</row>
    <row r="350" customFormat="false" ht="15.7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</row>
    <row r="351" customFormat="false" ht="15.7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</row>
    <row r="352" customFormat="false" ht="15.7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</row>
    <row r="353" customFormat="false" ht="15.7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</row>
    <row r="354" customFormat="false" ht="15.7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</row>
    <row r="355" customFormat="false" ht="15.7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</row>
    <row r="356" customFormat="false" ht="15.7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</row>
    <row r="357" customFormat="false" ht="15.7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</row>
    <row r="358" customFormat="false" ht="15.7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</row>
    <row r="359" customFormat="false" ht="15.7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</row>
    <row r="360" customFormat="false" ht="15.7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</row>
    <row r="361" customFormat="false" ht="15.7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</row>
    <row r="362" customFormat="false" ht="15.7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</row>
    <row r="363" customFormat="false" ht="15.7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</row>
    <row r="364" customFormat="false" ht="15.7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</row>
    <row r="365" customFormat="false" ht="15.7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</row>
    <row r="366" customFormat="false" ht="15.7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</row>
    <row r="367" customFormat="false" ht="15.7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</row>
    <row r="368" customFormat="false" ht="15.7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</row>
    <row r="369" customFormat="false" ht="15.7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</row>
    <row r="370" customFormat="false" ht="15.7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</row>
    <row r="371" customFormat="false" ht="15.7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</row>
    <row r="372" customFormat="false" ht="15.7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</row>
    <row r="373" customFormat="false" ht="15.7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</row>
    <row r="374" customFormat="false" ht="15.7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</row>
    <row r="375" customFormat="false" ht="15.7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</row>
    <row r="376" customFormat="false" ht="15.7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</row>
    <row r="377" customFormat="false" ht="15.7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</row>
    <row r="378" customFormat="false" ht="15.7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</row>
    <row r="379" customFormat="false" ht="15.7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</row>
    <row r="380" customFormat="false" ht="15.7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</row>
    <row r="381" customFormat="false" ht="15.7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</row>
    <row r="382" customFormat="false" ht="15.7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</row>
    <row r="383" customFormat="false" ht="15.7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</row>
    <row r="384" customFormat="false" ht="15.7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</row>
    <row r="385" customFormat="false" ht="15.7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</row>
    <row r="386" customFormat="false" ht="15.7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</row>
    <row r="387" customFormat="false" ht="15.7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</row>
    <row r="388" customFormat="false" ht="15.7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</row>
    <row r="389" customFormat="false" ht="15.7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</row>
    <row r="390" customFormat="false" ht="15.7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</row>
    <row r="391" customFormat="false" ht="15.7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</row>
    <row r="392" customFormat="false" ht="15.7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</row>
    <row r="393" customFormat="false" ht="15.7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</row>
    <row r="394" customFormat="false" ht="15.7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</row>
    <row r="395" customFormat="false" ht="15.7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</row>
    <row r="396" customFormat="false" ht="15.7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</row>
    <row r="397" customFormat="false" ht="15.7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</row>
    <row r="398" customFormat="false" ht="15.7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</row>
    <row r="399" customFormat="false" ht="15.7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</row>
    <row r="400" customFormat="false" ht="15.7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</row>
    <row r="401" customFormat="false" ht="15.7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</row>
    <row r="402" customFormat="false" ht="15.7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</row>
    <row r="403" customFormat="false" ht="15.7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</row>
    <row r="404" customFormat="false" ht="15.7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</row>
    <row r="405" customFormat="false" ht="15.7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</row>
    <row r="406" customFormat="false" ht="15.7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</row>
    <row r="407" customFormat="false" ht="15.7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</row>
    <row r="408" customFormat="false" ht="15.7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</row>
    <row r="409" customFormat="false" ht="15.7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</row>
    <row r="410" customFormat="false" ht="15.7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</row>
    <row r="411" customFormat="false" ht="15.7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</row>
    <row r="412" customFormat="false" ht="15.7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</row>
    <row r="413" customFormat="false" ht="15.7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</row>
    <row r="414" customFormat="false" ht="15.7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</row>
    <row r="415" customFormat="false" ht="15.7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</row>
    <row r="416" customFormat="false" ht="15.7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</row>
    <row r="417" customFormat="false" ht="15.7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</row>
    <row r="418" customFormat="false" ht="15.7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</row>
    <row r="419" customFormat="false" ht="15.7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</row>
    <row r="420" customFormat="false" ht="15.7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</row>
    <row r="421" customFormat="false" ht="15.7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</row>
    <row r="422" customFormat="false" ht="15.7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</row>
    <row r="423" customFormat="false" ht="15.7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</row>
    <row r="424" customFormat="false" ht="15.7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</row>
    <row r="425" customFormat="false" ht="15.7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</row>
    <row r="426" customFormat="false" ht="15.7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</row>
    <row r="427" customFormat="false" ht="15.7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</row>
    <row r="428" customFormat="false" ht="15.7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</row>
    <row r="429" customFormat="false" ht="15.7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</row>
    <row r="430" customFormat="false" ht="15.7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</row>
    <row r="431" customFormat="false" ht="15.7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</row>
    <row r="432" customFormat="false" ht="15.7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</row>
    <row r="433" customFormat="false" ht="15.7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</row>
    <row r="434" customFormat="false" ht="15.7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</row>
    <row r="435" customFormat="false" ht="15.7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</row>
    <row r="436" customFormat="false" ht="15.7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</row>
    <row r="437" customFormat="false" ht="15.7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</row>
    <row r="438" customFormat="false" ht="15.7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</row>
    <row r="439" customFormat="false" ht="15.7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</row>
    <row r="440" customFormat="false" ht="15.7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</row>
    <row r="441" customFormat="false" ht="15.7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</row>
    <row r="442" customFormat="false" ht="15.7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</row>
    <row r="443" customFormat="false" ht="15.7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</row>
    <row r="444" customFormat="false" ht="15.7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</row>
    <row r="445" customFormat="false" ht="15.7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</row>
    <row r="446" customFormat="false" ht="15.7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</row>
    <row r="447" customFormat="false" ht="15.7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</row>
    <row r="448" customFormat="false" ht="15.7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</row>
    <row r="449" customFormat="false" ht="15.7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</row>
    <row r="450" customFormat="false" ht="15.7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</row>
    <row r="451" customFormat="false" ht="15.7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</row>
    <row r="452" customFormat="false" ht="15.7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</row>
    <row r="453" customFormat="false" ht="15.7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</row>
    <row r="454" customFormat="false" ht="15.7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</row>
    <row r="455" customFormat="false" ht="15.7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</row>
    <row r="456" customFormat="false" ht="15.7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</row>
    <row r="457" customFormat="false" ht="15.7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</row>
    <row r="458" customFormat="false" ht="15.7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</row>
    <row r="459" customFormat="false" ht="15.7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</row>
    <row r="460" customFormat="false" ht="15.7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</row>
    <row r="461" customFormat="false" ht="15.7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</row>
    <row r="462" customFormat="false" ht="15.7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</row>
    <row r="463" customFormat="false" ht="15.7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</row>
    <row r="464" customFormat="false" ht="15.7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</row>
    <row r="465" customFormat="false" ht="15.7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</row>
    <row r="466" customFormat="false" ht="15.7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</row>
    <row r="467" customFormat="false" ht="15.7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</row>
    <row r="468" customFormat="false" ht="15.7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</row>
    <row r="469" customFormat="false" ht="15.7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</row>
    <row r="470" customFormat="false" ht="15.7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</row>
    <row r="471" customFormat="false" ht="15.7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</row>
    <row r="472" customFormat="false" ht="15.7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</row>
    <row r="473" customFormat="false" ht="15.7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</row>
    <row r="474" customFormat="false" ht="15.7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</row>
    <row r="475" customFormat="false" ht="15.7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</row>
    <row r="476" customFormat="false" ht="15.7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</row>
    <row r="477" customFormat="false" ht="15.7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</row>
    <row r="478" customFormat="false" ht="15.7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</row>
    <row r="479" customFormat="false" ht="15.7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</row>
    <row r="480" customFormat="false" ht="15.7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</row>
    <row r="481" customFormat="false" ht="15.7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</row>
    <row r="482" customFormat="false" ht="15.7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</row>
    <row r="483" customFormat="false" ht="15.7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</row>
    <row r="484" customFormat="false" ht="15.7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</row>
    <row r="485" customFormat="false" ht="15.7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</row>
    <row r="486" customFormat="false" ht="15.7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</row>
    <row r="487" customFormat="false" ht="15.7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</row>
    <row r="488" customFormat="false" ht="15.7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</row>
    <row r="489" customFormat="false" ht="15.7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</row>
    <row r="490" customFormat="false" ht="15.7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</row>
    <row r="491" customFormat="false" ht="15.7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</row>
    <row r="492" customFormat="false" ht="15.7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</row>
    <row r="493" customFormat="false" ht="15.7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</row>
    <row r="494" customFormat="false" ht="15.7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</row>
    <row r="495" customFormat="false" ht="15.7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</row>
    <row r="496" customFormat="false" ht="15.7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</row>
    <row r="497" customFormat="false" ht="15.7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</row>
    <row r="498" customFormat="false" ht="15.7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</row>
    <row r="499" customFormat="false" ht="15.7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</row>
    <row r="500" customFormat="false" ht="15.7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</row>
    <row r="501" customFormat="false" ht="15.7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</row>
    <row r="502" customFormat="false" ht="15.7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</row>
    <row r="503" customFormat="false" ht="15.7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</row>
    <row r="504" customFormat="false" ht="15.7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</row>
    <row r="505" customFormat="false" ht="15.7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</row>
    <row r="506" customFormat="false" ht="15.7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</row>
    <row r="507" customFormat="false" ht="15.7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</row>
    <row r="508" customFormat="false" ht="15.7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</row>
    <row r="509" customFormat="false" ht="15.7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</row>
    <row r="510" customFormat="false" ht="15.7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</row>
    <row r="511" customFormat="false" ht="15.7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</row>
    <row r="512" customFormat="false" ht="15.7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</row>
    <row r="513" customFormat="false" ht="15.7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</row>
    <row r="514" customFormat="false" ht="15.7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</row>
    <row r="515" customFormat="false" ht="15.7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</row>
    <row r="516" customFormat="false" ht="15.7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</row>
    <row r="517" customFormat="false" ht="15.7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</row>
    <row r="518" customFormat="false" ht="15.7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</row>
    <row r="519" customFormat="false" ht="15.7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</row>
    <row r="520" customFormat="false" ht="15.7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</row>
    <row r="521" customFormat="false" ht="15.7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</row>
    <row r="522" customFormat="false" ht="15.7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</row>
    <row r="523" customFormat="false" ht="15.7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</row>
    <row r="524" customFormat="false" ht="15.7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</row>
    <row r="525" customFormat="false" ht="15.7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</row>
    <row r="526" customFormat="false" ht="15.7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</row>
    <row r="527" customFormat="false" ht="15.7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</row>
    <row r="528" customFormat="false" ht="15.7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</row>
    <row r="529" customFormat="false" ht="15.7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</row>
    <row r="530" customFormat="false" ht="15.7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</row>
    <row r="531" customFormat="false" ht="15.7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</row>
    <row r="532" customFormat="false" ht="15.7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</row>
    <row r="533" customFormat="false" ht="15.7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</row>
    <row r="534" customFormat="false" ht="15.7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</row>
    <row r="535" customFormat="false" ht="15.7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</row>
    <row r="536" customFormat="false" ht="15.7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</row>
    <row r="537" customFormat="false" ht="15.7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</row>
    <row r="538" customFormat="false" ht="15.7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</row>
    <row r="539" customFormat="false" ht="15.7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</row>
    <row r="540" customFormat="false" ht="15.7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</row>
    <row r="541" customFormat="false" ht="15.7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</row>
    <row r="542" customFormat="false" ht="15.7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</row>
    <row r="543" customFormat="false" ht="15.7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</row>
    <row r="544" customFormat="false" ht="15.7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</row>
    <row r="545" customFormat="false" ht="15.7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</row>
    <row r="546" customFormat="false" ht="15.7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</row>
    <row r="547" customFormat="false" ht="15.7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</row>
    <row r="548" customFormat="false" ht="15.7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</row>
    <row r="549" customFormat="false" ht="15.7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</row>
    <row r="550" customFormat="false" ht="15.7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</row>
    <row r="551" customFormat="false" ht="15.7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</row>
    <row r="552" customFormat="false" ht="15.7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</row>
    <row r="553" customFormat="false" ht="15.7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</row>
    <row r="554" customFormat="false" ht="15.7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</row>
    <row r="555" customFormat="false" ht="15.7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</row>
    <row r="556" customFormat="false" ht="15.7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</row>
    <row r="557" customFormat="false" ht="15.7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</row>
    <row r="558" customFormat="false" ht="15.7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</row>
    <row r="559" customFormat="false" ht="15.7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</row>
    <row r="560" customFormat="false" ht="15.7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</row>
    <row r="561" customFormat="false" ht="15.7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</row>
    <row r="562" customFormat="false" ht="15.7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</row>
    <row r="563" customFormat="false" ht="15.7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</row>
    <row r="564" customFormat="false" ht="15.7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</row>
    <row r="565" customFormat="false" ht="15.7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</row>
    <row r="566" customFormat="false" ht="15.7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</row>
    <row r="567" customFormat="false" ht="15.7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</row>
    <row r="568" customFormat="false" ht="15.7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</row>
    <row r="569" customFormat="false" ht="15.7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</row>
    <row r="570" customFormat="false" ht="15.7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</row>
    <row r="571" customFormat="false" ht="15.7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</row>
    <row r="572" customFormat="false" ht="15.7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</row>
    <row r="573" customFormat="false" ht="15.7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</row>
    <row r="574" customFormat="false" ht="15.7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</row>
    <row r="575" customFormat="false" ht="15.7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</row>
    <row r="576" customFormat="false" ht="15.7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</row>
    <row r="577" customFormat="false" ht="15.7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</row>
    <row r="578" customFormat="false" ht="15.7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</row>
    <row r="579" customFormat="false" ht="15.7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</row>
    <row r="580" customFormat="false" ht="15.7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</row>
    <row r="581" customFormat="false" ht="15.7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</row>
    <row r="582" customFormat="false" ht="15.7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</row>
    <row r="583" customFormat="false" ht="15.7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</row>
    <row r="584" customFormat="false" ht="15.7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</row>
    <row r="585" customFormat="false" ht="15.7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</row>
    <row r="586" customFormat="false" ht="15.7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</row>
    <row r="587" customFormat="false" ht="15.7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</row>
    <row r="588" customFormat="false" ht="15.7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</row>
    <row r="589" customFormat="false" ht="15.7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</row>
    <row r="590" customFormat="false" ht="15.7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</row>
    <row r="591" customFormat="false" ht="15.7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</row>
    <row r="592" customFormat="false" ht="15.7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</row>
    <row r="593" customFormat="false" ht="15.7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</row>
    <row r="594" customFormat="false" ht="15.7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</row>
    <row r="595" customFormat="false" ht="15.7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</row>
    <row r="596" customFormat="false" ht="15.7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</row>
    <row r="597" customFormat="false" ht="15.7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</row>
    <row r="598" customFormat="false" ht="15.7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</row>
    <row r="599" customFormat="false" ht="15.7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</row>
    <row r="600" customFormat="false" ht="15.7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</row>
    <row r="601" customFormat="false" ht="15.7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</row>
    <row r="602" customFormat="false" ht="15.7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</row>
    <row r="603" customFormat="false" ht="15.7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</row>
    <row r="604" customFormat="false" ht="15.7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</row>
    <row r="605" customFormat="false" ht="15.7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</row>
    <row r="606" customFormat="false" ht="15.7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</row>
    <row r="607" customFormat="false" ht="15.7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</row>
    <row r="608" customFormat="false" ht="15.7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</row>
    <row r="609" customFormat="false" ht="15.7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</row>
    <row r="610" customFormat="false" ht="15.7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</row>
    <row r="611" customFormat="false" ht="15.7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</row>
    <row r="612" customFormat="false" ht="15.7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</row>
    <row r="613" customFormat="false" ht="15.7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</row>
    <row r="614" customFormat="false" ht="15.7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</row>
    <row r="615" customFormat="false" ht="15.7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</row>
    <row r="616" customFormat="false" ht="15.7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</row>
    <row r="617" customFormat="false" ht="15.7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</row>
    <row r="618" customFormat="false" ht="15.7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</row>
    <row r="619" customFormat="false" ht="15.7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</row>
    <row r="620" customFormat="false" ht="15.7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</row>
    <row r="621" customFormat="false" ht="15.7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</row>
    <row r="622" customFormat="false" ht="15.7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</row>
    <row r="623" customFormat="false" ht="15.7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</row>
    <row r="624" customFormat="false" ht="15.7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</row>
    <row r="625" customFormat="false" ht="15.7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</row>
    <row r="626" customFormat="false" ht="15.7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</row>
    <row r="627" customFormat="false" ht="15.7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</row>
    <row r="628" customFormat="false" ht="15.7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</row>
    <row r="629" customFormat="false" ht="15.7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</row>
    <row r="630" customFormat="false" ht="15.7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</row>
    <row r="631" customFormat="false" ht="15.7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</row>
    <row r="632" customFormat="false" ht="15.7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</row>
    <row r="633" customFormat="false" ht="15.7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</row>
    <row r="634" customFormat="false" ht="15.7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</row>
    <row r="635" customFormat="false" ht="15.7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</row>
    <row r="636" customFormat="false" ht="15.7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</row>
    <row r="637" customFormat="false" ht="15.7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</row>
    <row r="638" customFormat="false" ht="15.7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</row>
    <row r="639" customFormat="false" ht="15.7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</row>
    <row r="640" customFormat="false" ht="15.7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</row>
    <row r="641" customFormat="false" ht="15.7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</row>
    <row r="642" customFormat="false" ht="15.7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</row>
    <row r="643" customFormat="false" ht="15.7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</row>
    <row r="644" customFormat="false" ht="15.7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</row>
    <row r="645" customFormat="false" ht="15.7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</row>
    <row r="646" customFormat="false" ht="15.7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</row>
    <row r="647" customFormat="false" ht="15.7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</row>
    <row r="648" customFormat="false" ht="15.7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</row>
    <row r="649" customFormat="false" ht="15.7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</row>
    <row r="650" customFormat="false" ht="15.7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</row>
    <row r="651" customFormat="false" ht="15.7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</row>
    <row r="652" customFormat="false" ht="15.7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</row>
    <row r="653" customFormat="false" ht="15.7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</row>
    <row r="654" customFormat="false" ht="15.7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</row>
    <row r="655" customFormat="false" ht="15.7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</row>
    <row r="656" customFormat="false" ht="15.7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</row>
    <row r="657" customFormat="false" ht="15.7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</row>
    <row r="658" customFormat="false" ht="15.7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</row>
    <row r="659" customFormat="false" ht="15.7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</row>
    <row r="660" customFormat="false" ht="15.7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</row>
    <row r="661" customFormat="false" ht="15.7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</row>
    <row r="662" customFormat="false" ht="15.7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</row>
    <row r="663" customFormat="false" ht="15.7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</row>
    <row r="664" customFormat="false" ht="15.7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</row>
    <row r="665" customFormat="false" ht="15.7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</row>
    <row r="666" customFormat="false" ht="15.7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</row>
    <row r="667" customFormat="false" ht="15.7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</row>
    <row r="668" customFormat="false" ht="15.7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</row>
    <row r="669" customFormat="false" ht="15.7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</row>
    <row r="670" customFormat="false" ht="15.7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</row>
    <row r="671" customFormat="false" ht="15.7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</row>
    <row r="672" customFormat="false" ht="15.7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</row>
    <row r="673" customFormat="false" ht="15.7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</row>
    <row r="674" customFormat="false" ht="15.7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</row>
    <row r="675" customFormat="false" ht="15.7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</row>
    <row r="676" customFormat="false" ht="15.7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</row>
    <row r="677" customFormat="false" ht="15.7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</row>
    <row r="678" customFormat="false" ht="15.7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</row>
    <row r="679" customFormat="false" ht="15.7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</row>
    <row r="680" customFormat="false" ht="15.7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</row>
    <row r="681" customFormat="false" ht="15.7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</row>
    <row r="682" customFormat="false" ht="15.7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</row>
    <row r="683" customFormat="false" ht="15.7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</row>
    <row r="684" customFormat="false" ht="15.7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</row>
    <row r="685" customFormat="false" ht="15.7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</row>
    <row r="686" customFormat="false" ht="15.7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</row>
    <row r="687" customFormat="false" ht="15.7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</row>
    <row r="688" customFormat="false" ht="15.7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</row>
    <row r="689" customFormat="false" ht="15.7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</row>
    <row r="690" customFormat="false" ht="15.7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</row>
    <row r="691" customFormat="false" ht="15.7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</row>
    <row r="692" customFormat="false" ht="15.7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</row>
    <row r="693" customFormat="false" ht="15.7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</row>
    <row r="694" customFormat="false" ht="15.7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</row>
    <row r="695" customFormat="false" ht="15.7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</row>
    <row r="696" customFormat="false" ht="15.7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</row>
    <row r="697" customFormat="false" ht="15.7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</row>
    <row r="698" customFormat="false" ht="15.7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</row>
    <row r="699" customFormat="false" ht="15.7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</row>
    <row r="700" customFormat="false" ht="15.7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</row>
    <row r="701" customFormat="false" ht="15.7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</row>
    <row r="702" customFormat="false" ht="15.7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</row>
    <row r="703" customFormat="false" ht="15.7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</row>
    <row r="704" customFormat="false" ht="15.7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</row>
    <row r="705" customFormat="false" ht="15.7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</row>
    <row r="706" customFormat="false" ht="15.7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</row>
    <row r="707" customFormat="false" ht="15.7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</row>
    <row r="708" customFormat="false" ht="15.7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</row>
    <row r="709" customFormat="false" ht="15.7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</row>
    <row r="710" customFormat="false" ht="15.7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</row>
    <row r="711" customFormat="false" ht="15.7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</row>
    <row r="712" customFormat="false" ht="15.7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</row>
    <row r="713" customFormat="false" ht="15.7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</row>
    <row r="714" customFormat="false" ht="15.7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</row>
    <row r="715" customFormat="false" ht="15.7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</row>
    <row r="716" customFormat="false" ht="15.7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</row>
    <row r="717" customFormat="false" ht="15.7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</row>
    <row r="718" customFormat="false" ht="15.7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</row>
    <row r="719" customFormat="false" ht="15.7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</row>
    <row r="720" customFormat="false" ht="15.7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</row>
    <row r="721" customFormat="false" ht="15.7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</row>
    <row r="722" customFormat="false" ht="15.7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</row>
    <row r="723" customFormat="false" ht="15.7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</row>
    <row r="724" customFormat="false" ht="15.7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</row>
    <row r="725" customFormat="false" ht="15.7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</row>
    <row r="726" customFormat="false" ht="15.7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</row>
    <row r="727" customFormat="false" ht="15.7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</row>
    <row r="728" customFormat="false" ht="15.7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</row>
    <row r="729" customFormat="false" ht="15.7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</row>
    <row r="730" customFormat="false" ht="15.7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</row>
    <row r="731" customFormat="false" ht="15.7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</row>
    <row r="732" customFormat="false" ht="15.7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</row>
    <row r="733" customFormat="false" ht="15.7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</row>
    <row r="734" customFormat="false" ht="15.7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</row>
    <row r="735" customFormat="false" ht="15.7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</row>
    <row r="736" customFormat="false" ht="15.7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</row>
    <row r="737" customFormat="false" ht="15.7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</row>
    <row r="738" customFormat="false" ht="15.7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</row>
    <row r="739" customFormat="false" ht="15.7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</row>
    <row r="740" customFormat="false" ht="15.7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</row>
    <row r="741" customFormat="false" ht="15.7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</row>
    <row r="742" customFormat="false" ht="15.7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</row>
    <row r="743" customFormat="false" ht="15.7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</row>
    <row r="744" customFormat="false" ht="15.7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</row>
    <row r="745" customFormat="false" ht="15.7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</row>
    <row r="746" customFormat="false" ht="15.7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</row>
    <row r="747" customFormat="false" ht="15.7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</row>
    <row r="748" customFormat="false" ht="15.7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</row>
    <row r="749" customFormat="false" ht="15.7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</row>
    <row r="750" customFormat="false" ht="15.7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</row>
    <row r="751" customFormat="false" ht="15.7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</row>
    <row r="752" customFormat="false" ht="15.7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</row>
    <row r="753" customFormat="false" ht="15.7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</row>
    <row r="754" customFormat="false" ht="15.7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</row>
    <row r="755" customFormat="false" ht="15.7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</row>
    <row r="756" customFormat="false" ht="15.7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</row>
    <row r="757" customFormat="false" ht="15.7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</row>
    <row r="758" customFormat="false" ht="15.7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</row>
    <row r="759" customFormat="false" ht="15.7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</row>
    <row r="760" customFormat="false" ht="15.7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</row>
    <row r="761" customFormat="false" ht="15.7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</row>
    <row r="762" customFormat="false" ht="15.7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</row>
    <row r="763" customFormat="false" ht="15.7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</row>
    <row r="764" customFormat="false" ht="15.7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</row>
    <row r="765" customFormat="false" ht="15.7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</row>
    <row r="766" customFormat="false" ht="15.7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</row>
    <row r="767" customFormat="false" ht="15.7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</row>
    <row r="768" customFormat="false" ht="15.7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</row>
    <row r="769" customFormat="false" ht="15.7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</row>
    <row r="770" customFormat="false" ht="15.7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</row>
    <row r="771" customFormat="false" ht="15.7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</row>
    <row r="772" customFormat="false" ht="15.7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</row>
    <row r="773" customFormat="false" ht="15.7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</row>
    <row r="774" customFormat="false" ht="15.7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</row>
    <row r="775" customFormat="false" ht="15.7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</row>
    <row r="776" customFormat="false" ht="15.7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</row>
    <row r="777" customFormat="false" ht="15.7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</row>
    <row r="778" customFormat="false" ht="15.7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</row>
    <row r="779" customFormat="false" ht="15.7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</row>
    <row r="780" customFormat="false" ht="15.7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</row>
    <row r="781" customFormat="false" ht="15.7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</row>
    <row r="782" customFormat="false" ht="15.7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</row>
    <row r="783" customFormat="false" ht="15.7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</row>
    <row r="784" customFormat="false" ht="15.7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</row>
    <row r="785" customFormat="false" ht="15.7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</row>
    <row r="786" customFormat="false" ht="15.7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</row>
    <row r="787" customFormat="false" ht="15.7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</row>
    <row r="788" customFormat="false" ht="15.7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</row>
    <row r="789" customFormat="false" ht="15.7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</row>
    <row r="790" customFormat="false" ht="15.7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</row>
    <row r="791" customFormat="false" ht="15.7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</row>
    <row r="792" customFormat="false" ht="15.7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</row>
    <row r="793" customFormat="false" ht="15.7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</row>
    <row r="794" customFormat="false" ht="15.7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</row>
    <row r="795" customFormat="false" ht="15.7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</row>
    <row r="796" customFormat="false" ht="15.7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</row>
    <row r="797" customFormat="false" ht="15.7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</row>
    <row r="798" customFormat="false" ht="15.7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</row>
    <row r="799" customFormat="false" ht="15.7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</row>
    <row r="800" customFormat="false" ht="15.7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</row>
    <row r="801" customFormat="false" ht="15.7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</row>
    <row r="802" customFormat="false" ht="15.7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</row>
    <row r="803" customFormat="false" ht="15.7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</row>
    <row r="804" customFormat="false" ht="15.7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</row>
    <row r="805" customFormat="false" ht="15.7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</row>
    <row r="806" customFormat="false" ht="15.7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</row>
    <row r="807" customFormat="false" ht="15.7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</row>
    <row r="808" customFormat="false" ht="15.7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</row>
    <row r="809" customFormat="false" ht="15.7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</row>
    <row r="810" customFormat="false" ht="15.7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</row>
    <row r="811" customFormat="false" ht="15.7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</row>
    <row r="812" customFormat="false" ht="15.7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</row>
    <row r="813" customFormat="false" ht="15.7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</row>
    <row r="814" customFormat="false" ht="15.7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</row>
    <row r="815" customFormat="false" ht="15.7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</row>
    <row r="816" customFormat="false" ht="15.7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</row>
    <row r="817" customFormat="false" ht="15.7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</row>
    <row r="818" customFormat="false" ht="15.7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</row>
    <row r="819" customFormat="false" ht="15.7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</row>
    <row r="820" customFormat="false" ht="15.7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</row>
    <row r="821" customFormat="false" ht="15.7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</row>
    <row r="822" customFormat="false" ht="15.7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</row>
    <row r="823" customFormat="false" ht="15.7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</row>
    <row r="824" customFormat="false" ht="15.7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</row>
    <row r="825" customFormat="false" ht="15.7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</row>
    <row r="826" customFormat="false" ht="15.7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</row>
    <row r="827" customFormat="false" ht="15.7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</row>
    <row r="828" customFormat="false" ht="15.7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</row>
    <row r="829" customFormat="false" ht="15.7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</row>
    <row r="830" customFormat="false" ht="15.7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</row>
    <row r="831" customFormat="false" ht="15.7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</row>
    <row r="832" customFormat="false" ht="15.7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</row>
    <row r="833" customFormat="false" ht="15.7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</row>
    <row r="834" customFormat="false" ht="15.7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</row>
    <row r="835" customFormat="false" ht="15.7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</row>
    <row r="836" customFormat="false" ht="15.7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</row>
    <row r="837" customFormat="false" ht="15.7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</row>
    <row r="838" customFormat="false" ht="15.7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</row>
    <row r="839" customFormat="false" ht="15.7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</row>
    <row r="840" customFormat="false" ht="15.7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</row>
    <row r="841" customFormat="false" ht="15.7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</row>
    <row r="842" customFormat="false" ht="15.7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</row>
    <row r="843" customFormat="false" ht="15.7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</row>
    <row r="844" customFormat="false" ht="15.7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</row>
    <row r="845" customFormat="false" ht="15.7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</row>
    <row r="846" customFormat="false" ht="15.7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</row>
    <row r="847" customFormat="false" ht="15.7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</row>
    <row r="848" customFormat="false" ht="15.7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</row>
    <row r="849" customFormat="false" ht="15.7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</row>
    <row r="850" customFormat="false" ht="15.7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</row>
    <row r="851" customFormat="false" ht="15.7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</row>
    <row r="852" customFormat="false" ht="15.7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</row>
    <row r="853" customFormat="false" ht="15.7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</row>
    <row r="854" customFormat="false" ht="15.7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</row>
    <row r="855" customFormat="false" ht="15.7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</row>
    <row r="856" customFormat="false" ht="15.7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</row>
    <row r="857" customFormat="false" ht="15.7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</row>
    <row r="858" customFormat="false" ht="15.7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</row>
    <row r="859" customFormat="false" ht="15.7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</row>
    <row r="860" customFormat="false" ht="15.7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</row>
    <row r="861" customFormat="false" ht="15.7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</row>
    <row r="862" customFormat="false" ht="15.7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</row>
    <row r="863" customFormat="false" ht="15.7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</row>
    <row r="864" customFormat="false" ht="15.7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</row>
    <row r="865" customFormat="false" ht="15.7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</row>
    <row r="866" customFormat="false" ht="15.7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</row>
    <row r="867" customFormat="false" ht="15.7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</row>
    <row r="868" customFormat="false" ht="15.7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</row>
    <row r="869" customFormat="false" ht="15.7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</row>
    <row r="870" customFormat="false" ht="15.7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</row>
    <row r="871" customFormat="false" ht="15.7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</row>
    <row r="872" customFormat="false" ht="15.7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</row>
    <row r="873" customFormat="false" ht="15.7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</row>
    <row r="874" customFormat="false" ht="15.7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</row>
    <row r="875" customFormat="false" ht="15.7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</row>
    <row r="876" customFormat="false" ht="15.7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</row>
    <row r="877" customFormat="false" ht="15.7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</row>
    <row r="878" customFormat="false" ht="15.7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</row>
    <row r="879" customFormat="false" ht="15.7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</row>
    <row r="880" customFormat="false" ht="15.7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</row>
    <row r="881" customFormat="false" ht="15.7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</row>
    <row r="882" customFormat="false" ht="15.7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</row>
    <row r="883" customFormat="false" ht="15.7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</row>
    <row r="884" customFormat="false" ht="15.7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</row>
    <row r="885" customFormat="false" ht="15.7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</row>
    <row r="886" customFormat="false" ht="15.7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</row>
    <row r="887" customFormat="false" ht="15.7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</row>
    <row r="888" customFormat="false" ht="15.7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</row>
    <row r="889" customFormat="false" ht="15.7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</row>
    <row r="890" customFormat="false" ht="15.7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</row>
    <row r="891" customFormat="false" ht="15.7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</row>
    <row r="892" customFormat="false" ht="15.7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</row>
    <row r="893" customFormat="false" ht="15.7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</row>
    <row r="894" customFormat="false" ht="15.7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</row>
    <row r="895" customFormat="false" ht="15.7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</row>
    <row r="896" customFormat="false" ht="15.7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</row>
    <row r="897" customFormat="false" ht="15.7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</row>
    <row r="898" customFormat="false" ht="15.7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</row>
    <row r="899" customFormat="false" ht="15.7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</row>
    <row r="900" customFormat="false" ht="15.7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</row>
    <row r="901" customFormat="false" ht="15.7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</row>
    <row r="902" customFormat="false" ht="15.7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</row>
    <row r="903" customFormat="false" ht="15.7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</row>
    <row r="904" customFormat="false" ht="15.7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</row>
    <row r="905" customFormat="false" ht="15.7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</row>
    <row r="906" customFormat="false" ht="15.7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</row>
    <row r="907" customFormat="false" ht="15.7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</row>
    <row r="908" customFormat="false" ht="15.7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</row>
    <row r="909" customFormat="false" ht="15.7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</row>
    <row r="910" customFormat="false" ht="15.7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</row>
    <row r="911" customFormat="false" ht="15.7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</row>
    <row r="912" customFormat="false" ht="15.7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</row>
    <row r="913" customFormat="false" ht="15.7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</row>
    <row r="914" customFormat="false" ht="15.7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</row>
    <row r="915" customFormat="false" ht="15.7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</row>
    <row r="916" customFormat="false" ht="15.7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</row>
    <row r="917" customFormat="false" ht="15.7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</row>
    <row r="918" customFormat="false" ht="15.7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</row>
    <row r="919" customFormat="false" ht="15.7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</row>
    <row r="920" customFormat="false" ht="15.7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</row>
    <row r="921" customFormat="false" ht="15.7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</row>
    <row r="922" customFormat="false" ht="15.7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</row>
    <row r="923" customFormat="false" ht="15.7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</row>
    <row r="924" customFormat="false" ht="15.7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</row>
    <row r="925" customFormat="false" ht="15.7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</row>
    <row r="926" customFormat="false" ht="15.7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</row>
    <row r="927" customFormat="false" ht="15.7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</row>
    <row r="928" customFormat="false" ht="15.7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</row>
    <row r="929" customFormat="false" ht="15.7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</row>
    <row r="930" customFormat="false" ht="15.7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</row>
    <row r="931" customFormat="false" ht="15.7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</row>
    <row r="932" customFormat="false" ht="15.7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</row>
    <row r="933" customFormat="false" ht="15.7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</row>
    <row r="934" customFormat="false" ht="15.7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</row>
    <row r="935" customFormat="false" ht="15.7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</row>
    <row r="936" customFormat="false" ht="15.7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</row>
    <row r="937" customFormat="false" ht="15.7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</row>
    <row r="938" customFormat="false" ht="15.7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</row>
    <row r="939" customFormat="false" ht="15.7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</row>
    <row r="940" customFormat="false" ht="15.7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</row>
    <row r="941" customFormat="false" ht="15.7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</row>
    <row r="942" customFormat="false" ht="15.7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</row>
    <row r="943" customFormat="false" ht="15.7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</row>
    <row r="944" customFormat="false" ht="15.7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</row>
    <row r="945" customFormat="false" ht="15.7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</row>
    <row r="946" customFormat="false" ht="15.7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</row>
    <row r="947" customFormat="false" ht="15.7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</row>
    <row r="948" customFormat="false" ht="15.7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</row>
    <row r="949" customFormat="false" ht="15.7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</row>
    <row r="950" customFormat="false" ht="15.7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</row>
    <row r="951" customFormat="false" ht="15.7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</row>
    <row r="952" customFormat="false" ht="15.7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</row>
    <row r="953" customFormat="false" ht="15.7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</row>
    <row r="954" customFormat="false" ht="15.7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</row>
    <row r="955" customFormat="false" ht="15.7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</row>
    <row r="956" customFormat="false" ht="15.7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</row>
    <row r="957" customFormat="false" ht="15.7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</row>
    <row r="958" customFormat="false" ht="15.7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</row>
    <row r="959" customFormat="false" ht="15.7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</row>
    <row r="960" customFormat="false" ht="15.7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</row>
    <row r="961" customFormat="false" ht="15.7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</row>
    <row r="962" customFormat="false" ht="15.7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</row>
    <row r="963" customFormat="false" ht="15.7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</row>
    <row r="964" customFormat="false" ht="15.7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</row>
    <row r="965" customFormat="false" ht="15.7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</row>
    <row r="966" customFormat="false" ht="15.7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</row>
    <row r="967" customFormat="false" ht="15.7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</row>
    <row r="968" customFormat="false" ht="15.7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</row>
    <row r="969" customFormat="false" ht="15.7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</row>
    <row r="970" customFormat="false" ht="15.7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</row>
    <row r="971" customFormat="false" ht="15.7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</row>
    <row r="972" customFormat="false" ht="15.7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</row>
    <row r="973" customFormat="false" ht="15.7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</row>
    <row r="974" customFormat="false" ht="15.7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</row>
    <row r="975" customFormat="false" ht="15.7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</row>
    <row r="976" customFormat="false" ht="15.7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</row>
    <row r="977" customFormat="false" ht="15.7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</row>
    <row r="978" customFormat="false" ht="15.7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</row>
    <row r="979" customFormat="false" ht="15.7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</row>
    <row r="980" customFormat="false" ht="15.7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</row>
    <row r="981" customFormat="false" ht="15.7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</row>
    <row r="982" customFormat="false" ht="15.7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</row>
    <row r="983" customFormat="false" ht="15.7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</row>
    <row r="984" customFormat="false" ht="15.7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</row>
    <row r="985" customFormat="false" ht="15.7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</row>
    <row r="986" customFormat="false" ht="15.7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</row>
    <row r="987" customFormat="false" ht="15.7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</row>
    <row r="988" customFormat="false" ht="15.7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</row>
    <row r="989" customFormat="false" ht="15.7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</row>
    <row r="990" customFormat="false" ht="15.7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</row>
    <row r="991" customFormat="false" ht="15.7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</row>
    <row r="992" customFormat="false" ht="15.7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</row>
    <row r="993" customFormat="false" ht="15.7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</row>
    <row r="994" customFormat="false" ht="15.7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</row>
    <row r="995" customFormat="false" ht="15.7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</row>
    <row r="996" customFormat="false" ht="15.7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</row>
    <row r="997" customFormat="false" ht="15.75" hidden="false" customHeight="true" outlineLevel="0" collapsed="false">
      <c r="A997" s="2"/>
      <c r="B997" s="2"/>
      <c r="C997" s="2"/>
      <c r="D997" s="2"/>
      <c r="E997" s="2"/>
      <c r="F997" s="2"/>
      <c r="G997" s="2"/>
      <c r="H997" s="2"/>
    </row>
    <row r="998" customFormat="false" ht="15.75" hidden="false" customHeight="true" outlineLevel="0" collapsed="false">
      <c r="A998" s="2"/>
      <c r="B998" s="2"/>
      <c r="C998" s="2"/>
      <c r="D998" s="2"/>
      <c r="E998" s="2"/>
      <c r="F998" s="2"/>
      <c r="G998" s="2"/>
      <c r="H998" s="2"/>
    </row>
    <row r="999" customFormat="false" ht="15.75" hidden="false" customHeight="true" outlineLevel="0" collapsed="false">
      <c r="A999" s="2"/>
      <c r="B999" s="2"/>
      <c r="C999" s="2"/>
      <c r="D999" s="2"/>
      <c r="E999" s="2"/>
      <c r="F999" s="2"/>
      <c r="G999" s="2"/>
      <c r="H999" s="2"/>
    </row>
    <row r="1000" customFormat="false" ht="15.75" hidden="false" customHeight="true" outlineLevel="0" collapsed="false">
      <c r="A1000" s="2"/>
      <c r="B1000" s="2"/>
      <c r="C1000" s="2"/>
      <c r="D1000" s="2"/>
      <c r="E1000" s="2"/>
      <c r="F1000" s="2"/>
      <c r="G1000" s="2"/>
      <c r="H1000" s="2"/>
    </row>
  </sheetData>
  <mergeCells count="22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1:G31"/>
    <mergeCell ref="B32:H32"/>
    <mergeCell ref="D34:H34"/>
    <mergeCell ref="B39:G39"/>
    <mergeCell ref="B40:G40"/>
    <mergeCell ref="B41:G41"/>
    <mergeCell ref="B43:G43"/>
    <mergeCell ref="B44:G44"/>
    <mergeCell ref="B45:G45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9.7" hidden="false" customHeight="false" outlineLevel="0" collapsed="false">
      <c r="A2" s="2"/>
      <c r="B2" s="3" t="s">
        <v>866</v>
      </c>
      <c r="C2" s="3"/>
      <c r="D2" s="3"/>
      <c r="E2" s="3"/>
      <c r="F2" s="3"/>
      <c r="G2" s="3"/>
      <c r="H2" s="3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2"/>
      <c r="B4" s="4" t="s">
        <v>785</v>
      </c>
      <c r="C4" s="14" t="s">
        <v>867</v>
      </c>
      <c r="D4" s="14"/>
      <c r="E4" s="14"/>
      <c r="F4" s="14"/>
      <c r="G4" s="14"/>
      <c r="H4" s="14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15" hidden="false" customHeight="false" outlineLevel="0" collapsed="false">
      <c r="A5" s="2"/>
      <c r="B5" s="4" t="s">
        <v>787</v>
      </c>
      <c r="C5" s="14" t="s">
        <v>868</v>
      </c>
      <c r="D5" s="14"/>
      <c r="E5" s="14"/>
      <c r="F5" s="14"/>
      <c r="G5" s="14"/>
      <c r="H5" s="14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15" hidden="false" customHeight="false" outlineLevel="0" collapsed="false">
      <c r="A6" s="2"/>
      <c r="B6" s="4" t="s">
        <v>18</v>
      </c>
      <c r="C6" s="14" t="s">
        <v>826</v>
      </c>
      <c r="D6" s="14"/>
      <c r="E6" s="14"/>
      <c r="F6" s="14"/>
      <c r="G6" s="14"/>
      <c r="H6" s="14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15" hidden="false" customHeight="false" outlineLevel="0" collapsed="false">
      <c r="A7" s="2"/>
      <c r="B7" s="4" t="s">
        <v>790</v>
      </c>
      <c r="C7" s="14" t="s">
        <v>869</v>
      </c>
      <c r="D7" s="14"/>
      <c r="E7" s="14"/>
      <c r="F7" s="14"/>
      <c r="G7" s="14"/>
      <c r="H7" s="14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15" hidden="false" customHeight="false" outlineLevel="0" collapsed="false">
      <c r="A8" s="2"/>
      <c r="B8" s="4" t="s">
        <v>792</v>
      </c>
      <c r="C8" s="32" t="n">
        <f aca="false">RINGKASAN!$K$26</f>
        <v>75939562</v>
      </c>
      <c r="D8" s="32"/>
      <c r="E8" s="32"/>
      <c r="F8" s="32"/>
      <c r="G8" s="32"/>
      <c r="H8" s="3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15" hidden="false" customHeight="false" outlineLevel="0" collapsed="false">
      <c r="A9" s="2"/>
      <c r="B9" s="4" t="s">
        <v>81</v>
      </c>
      <c r="C9" s="14" t="s">
        <v>793</v>
      </c>
      <c r="D9" s="14"/>
      <c r="E9" s="14"/>
      <c r="F9" s="14"/>
      <c r="G9" s="14"/>
      <c r="H9" s="14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15" hidden="false" customHeight="false" outlineLevel="0" collapsed="false">
      <c r="A10" s="2"/>
      <c r="B10" s="4" t="s">
        <v>9</v>
      </c>
      <c r="C10" s="14" t="s">
        <v>10</v>
      </c>
      <c r="D10" s="14"/>
      <c r="E10" s="14"/>
      <c r="F10" s="14"/>
      <c r="G10" s="14"/>
      <c r="H10" s="14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21.75" hidden="false" customHeight="true" outlineLevel="0" collapsed="false">
      <c r="A12" s="2"/>
      <c r="B12" s="15" t="s">
        <v>794</v>
      </c>
      <c r="C12" s="15"/>
      <c r="D12" s="15"/>
      <c r="E12" s="15"/>
      <c r="F12" s="15"/>
      <c r="G12" s="15"/>
      <c r="H12" s="15"/>
    </row>
    <row r="13" customFormat="false" ht="27.75" hidden="false" customHeight="true" outlineLevel="0" collapsed="false">
      <c r="A13" s="2"/>
      <c r="B13" s="7" t="s">
        <v>16</v>
      </c>
      <c r="C13" s="7" t="s">
        <v>795</v>
      </c>
      <c r="D13" s="7" t="s">
        <v>796</v>
      </c>
      <c r="E13" s="7" t="s">
        <v>797</v>
      </c>
      <c r="F13" s="7" t="s">
        <v>89</v>
      </c>
      <c r="G13" s="7" t="s">
        <v>90</v>
      </c>
      <c r="H13" s="7" t="s">
        <v>798</v>
      </c>
    </row>
    <row r="14" customFormat="false" ht="21.75" hidden="false" customHeight="true" outlineLevel="0" collapsed="false">
      <c r="A14" s="2"/>
      <c r="B14" s="33" t="s">
        <v>799</v>
      </c>
      <c r="C14" s="34" t="s">
        <v>800</v>
      </c>
      <c r="D14" s="35"/>
      <c r="E14" s="35"/>
      <c r="F14" s="35"/>
      <c r="G14" s="35"/>
      <c r="H14" s="35"/>
    </row>
    <row r="15" customFormat="false" ht="36" hidden="false" customHeight="true" outlineLevel="0" collapsed="false">
      <c r="A15" s="2"/>
      <c r="B15" s="9" t="s">
        <v>801</v>
      </c>
      <c r="C15" s="17" t="s">
        <v>110</v>
      </c>
      <c r="D15" s="36" t="n">
        <v>42</v>
      </c>
      <c r="E15" s="36" t="n">
        <v>42</v>
      </c>
      <c r="F15" s="18" t="s">
        <v>94</v>
      </c>
      <c r="G15" s="8" t="n">
        <f aca="false">'Master of Price'!$G$20</f>
        <v>352000</v>
      </c>
      <c r="H15" s="8" t="n">
        <f aca="false">E15*G15</f>
        <v>14784000</v>
      </c>
    </row>
    <row r="16" customFormat="false" ht="27.75" hidden="false" customHeight="true" outlineLevel="0" collapsed="false">
      <c r="A16" s="2"/>
      <c r="B16" s="9" t="s">
        <v>802</v>
      </c>
      <c r="C16" s="17" t="s">
        <v>96</v>
      </c>
      <c r="D16" s="36" t="n">
        <v>42</v>
      </c>
      <c r="E16" s="36" t="n">
        <v>42</v>
      </c>
      <c r="F16" s="18" t="s">
        <v>94</v>
      </c>
      <c r="G16" s="8" t="n">
        <f aca="false">'Master of Price'!$G$13</f>
        <v>100000</v>
      </c>
      <c r="H16" s="8" t="n">
        <f aca="false">E16*G16</f>
        <v>4200000</v>
      </c>
    </row>
    <row r="17" customFormat="false" ht="27.75" hidden="false" customHeight="true" outlineLevel="0" collapsed="false">
      <c r="A17" s="2"/>
      <c r="B17" s="9" t="s">
        <v>803</v>
      </c>
      <c r="C17" s="17" t="s">
        <v>98</v>
      </c>
      <c r="D17" s="36" t="n">
        <v>42</v>
      </c>
      <c r="E17" s="36" t="n">
        <v>42</v>
      </c>
      <c r="F17" s="18" t="s">
        <v>94</v>
      </c>
      <c r="G17" s="8" t="n">
        <f aca="false">'Master of Price'!$G$14</f>
        <v>28000</v>
      </c>
      <c r="H17" s="8" t="n">
        <f aca="false">E17*G17</f>
        <v>1176000</v>
      </c>
    </row>
    <row r="18" customFormat="false" ht="27.75" hidden="false" customHeight="true" outlineLevel="0" collapsed="false">
      <c r="A18" s="2"/>
      <c r="B18" s="9" t="s">
        <v>804</v>
      </c>
      <c r="C18" s="17" t="s">
        <v>100</v>
      </c>
      <c r="D18" s="36" t="n">
        <v>42</v>
      </c>
      <c r="E18" s="36" t="n">
        <v>42</v>
      </c>
      <c r="F18" s="18" t="s">
        <v>94</v>
      </c>
      <c r="G18" s="8" t="n">
        <f aca="false">'Master of Price'!$G$15</f>
        <v>45000</v>
      </c>
      <c r="H18" s="8" t="n">
        <f aca="false">E18*G18</f>
        <v>1890000</v>
      </c>
    </row>
    <row r="19" customFormat="false" ht="27.75" hidden="false" customHeight="true" outlineLevel="0" collapsed="false">
      <c r="A19" s="2"/>
      <c r="B19" s="9" t="s">
        <v>805</v>
      </c>
      <c r="C19" s="17" t="s">
        <v>102</v>
      </c>
      <c r="D19" s="36" t="n">
        <v>42</v>
      </c>
      <c r="E19" s="36" t="n">
        <v>42</v>
      </c>
      <c r="F19" s="18" t="s">
        <v>94</v>
      </c>
      <c r="G19" s="8" t="n">
        <f aca="false">'Master of Price'!$G$16</f>
        <v>75000</v>
      </c>
      <c r="H19" s="8" t="n">
        <f aca="false">E19*G19</f>
        <v>3150000</v>
      </c>
    </row>
    <row r="20" customFormat="false" ht="25.5" hidden="false" customHeight="true" outlineLevel="0" collapsed="false">
      <c r="A20" s="2"/>
      <c r="B20" s="23" t="s">
        <v>806</v>
      </c>
      <c r="C20" s="23"/>
      <c r="D20" s="23"/>
      <c r="E20" s="23"/>
      <c r="F20" s="23"/>
      <c r="G20" s="23"/>
      <c r="H20" s="11" t="n">
        <f aca="false">SUM(H15:H19)</f>
        <v>25200000</v>
      </c>
    </row>
    <row r="21" customFormat="false" ht="21.75" hidden="false" customHeight="true" outlineLevel="0" collapsed="false">
      <c r="A21" s="2"/>
      <c r="B21" s="15" t="s">
        <v>807</v>
      </c>
      <c r="C21" s="15"/>
      <c r="D21" s="15"/>
      <c r="E21" s="15"/>
      <c r="F21" s="15"/>
      <c r="G21" s="15"/>
      <c r="H21" s="15"/>
    </row>
    <row r="22" customFormat="false" ht="27.75" hidden="false" customHeight="true" outlineLevel="0" collapsed="false">
      <c r="A22" s="2"/>
      <c r="B22" s="7" t="s">
        <v>16</v>
      </c>
      <c r="C22" s="7" t="s">
        <v>795</v>
      </c>
      <c r="D22" s="7" t="s">
        <v>796</v>
      </c>
      <c r="E22" s="7" t="s">
        <v>797</v>
      </c>
      <c r="F22" s="7" t="s">
        <v>89</v>
      </c>
      <c r="G22" s="7" t="s">
        <v>90</v>
      </c>
      <c r="H22" s="7" t="s">
        <v>798</v>
      </c>
    </row>
    <row r="23" customFormat="false" ht="21.75" hidden="false" customHeight="true" outlineLevel="0" collapsed="false">
      <c r="A23" s="2"/>
      <c r="B23" s="33" t="s">
        <v>808</v>
      </c>
      <c r="C23" s="34" t="s">
        <v>809</v>
      </c>
      <c r="D23" s="35"/>
      <c r="E23" s="35"/>
      <c r="F23" s="35"/>
      <c r="G23" s="35"/>
      <c r="H23" s="35"/>
    </row>
    <row r="24" customFormat="false" ht="27.75" hidden="false" customHeight="true" outlineLevel="0" collapsed="false">
      <c r="A24" s="2"/>
      <c r="B24" s="9" t="s">
        <v>810</v>
      </c>
      <c r="C24" s="17" t="s">
        <v>116</v>
      </c>
      <c r="D24" s="36" t="n">
        <v>5.07</v>
      </c>
      <c r="E24" s="36" t="n">
        <v>5.07</v>
      </c>
      <c r="F24" s="18" t="s">
        <v>114</v>
      </c>
      <c r="G24" s="8" t="n">
        <f aca="false">'Master of Price'!$G$22</f>
        <v>47500</v>
      </c>
      <c r="H24" s="8" t="n">
        <f aca="false">E24*G24</f>
        <v>240825</v>
      </c>
    </row>
    <row r="25" customFormat="false" ht="21.75" hidden="false" customHeight="true" outlineLevel="0" collapsed="false">
      <c r="A25" s="2"/>
      <c r="B25" s="9" t="s">
        <v>828</v>
      </c>
      <c r="C25" s="17" t="s">
        <v>118</v>
      </c>
      <c r="D25" s="36" t="n">
        <v>0.39</v>
      </c>
      <c r="E25" s="36" t="n">
        <v>0.39</v>
      </c>
      <c r="F25" s="18" t="s">
        <v>114</v>
      </c>
      <c r="G25" s="8" t="n">
        <f aca="false">'Master of Price'!$G$23</f>
        <v>90000</v>
      </c>
      <c r="H25" s="8" t="n">
        <f aca="false">E25*G25</f>
        <v>35100</v>
      </c>
    </row>
    <row r="26" customFormat="false" ht="21.75" hidden="false" customHeight="true" outlineLevel="0" collapsed="false">
      <c r="A26" s="2"/>
      <c r="B26" s="9" t="s">
        <v>829</v>
      </c>
      <c r="C26" s="17" t="s">
        <v>120</v>
      </c>
      <c r="D26" s="36" t="n">
        <v>0.08</v>
      </c>
      <c r="E26" s="36" t="n">
        <v>0.08</v>
      </c>
      <c r="F26" s="18" t="s">
        <v>114</v>
      </c>
      <c r="G26" s="8" t="n">
        <f aca="false">'Master of Price'!$G$24</f>
        <v>130000</v>
      </c>
      <c r="H26" s="8" t="n">
        <f aca="false">E26*G26</f>
        <v>10400</v>
      </c>
    </row>
    <row r="27" customFormat="false" ht="27.75" hidden="false" customHeight="true" outlineLevel="0" collapsed="false">
      <c r="A27" s="2"/>
      <c r="B27" s="9" t="s">
        <v>830</v>
      </c>
      <c r="C27" s="17" t="s">
        <v>122</v>
      </c>
      <c r="D27" s="36" t="n">
        <v>3.9</v>
      </c>
      <c r="E27" s="36" t="n">
        <v>3.9</v>
      </c>
      <c r="F27" s="18" t="s">
        <v>114</v>
      </c>
      <c r="G27" s="8" t="n">
        <f aca="false">'Master of Price'!$G$25</f>
        <v>700000</v>
      </c>
      <c r="H27" s="8" t="n">
        <f aca="false">E27*G27</f>
        <v>2730000</v>
      </c>
    </row>
    <row r="28" customFormat="false" ht="36" hidden="false" customHeight="true" outlineLevel="0" collapsed="false">
      <c r="A28" s="2"/>
      <c r="B28" s="9" t="s">
        <v>831</v>
      </c>
      <c r="C28" s="17" t="s">
        <v>124</v>
      </c>
      <c r="D28" s="36" t="n">
        <v>0.975</v>
      </c>
      <c r="E28" s="36" t="n">
        <v>0.975</v>
      </c>
      <c r="F28" s="18" t="s">
        <v>114</v>
      </c>
      <c r="G28" s="8" t="n">
        <f aca="false">'Master of Price'!$G$26</f>
        <v>1000000</v>
      </c>
      <c r="H28" s="8" t="n">
        <f aca="false">E28*G28</f>
        <v>975000</v>
      </c>
    </row>
    <row r="29" customFormat="false" ht="36" hidden="false" customHeight="true" outlineLevel="0" collapsed="false">
      <c r="A29" s="2"/>
      <c r="B29" s="9" t="s">
        <v>832</v>
      </c>
      <c r="C29" s="17" t="s">
        <v>113</v>
      </c>
      <c r="D29" s="36" t="n">
        <v>0.1</v>
      </c>
      <c r="E29" s="36" t="n">
        <v>0.1</v>
      </c>
      <c r="F29" s="18" t="s">
        <v>114</v>
      </c>
      <c r="G29" s="8" t="n">
        <f aca="false">'Master of Price'!$G$21</f>
        <v>1000000</v>
      </c>
      <c r="H29" s="8" t="n">
        <f aca="false">E29*G29</f>
        <v>100000</v>
      </c>
    </row>
    <row r="30" customFormat="false" ht="36" hidden="false" customHeight="true" outlineLevel="0" collapsed="false">
      <c r="A30" s="2"/>
      <c r="B30" s="9" t="s">
        <v>833</v>
      </c>
      <c r="C30" s="17" t="s">
        <v>128</v>
      </c>
      <c r="D30" s="36" t="n">
        <v>1</v>
      </c>
      <c r="E30" s="36" t="n">
        <v>1</v>
      </c>
      <c r="F30" s="18" t="s">
        <v>129</v>
      </c>
      <c r="G30" s="8" t="n">
        <f aca="false">'Master of Price'!$G$28</f>
        <v>4500000</v>
      </c>
      <c r="H30" s="8" t="n">
        <f aca="false">E30*G30</f>
        <v>4500000</v>
      </c>
    </row>
    <row r="31" customFormat="false" ht="25.5" hidden="false" customHeight="true" outlineLevel="0" collapsed="false">
      <c r="A31" s="2"/>
      <c r="B31" s="23" t="s">
        <v>811</v>
      </c>
      <c r="C31" s="23"/>
      <c r="D31" s="23"/>
      <c r="E31" s="23"/>
      <c r="F31" s="23"/>
      <c r="G31" s="23"/>
      <c r="H31" s="11" t="n">
        <f aca="false">SUM(H24:H30)</f>
        <v>8591325</v>
      </c>
    </row>
    <row r="32" customFormat="false" ht="21.75" hidden="false" customHeight="true" outlineLevel="0" collapsed="false">
      <c r="A32" s="2"/>
      <c r="B32" s="15" t="s">
        <v>834</v>
      </c>
      <c r="C32" s="15"/>
      <c r="D32" s="15"/>
      <c r="E32" s="15"/>
      <c r="F32" s="15"/>
      <c r="G32" s="15"/>
      <c r="H32" s="15"/>
    </row>
    <row r="33" customFormat="false" ht="27.75" hidden="false" customHeight="true" outlineLevel="0" collapsed="false">
      <c r="A33" s="2"/>
      <c r="B33" s="7" t="s">
        <v>16</v>
      </c>
      <c r="C33" s="7" t="s">
        <v>795</v>
      </c>
      <c r="D33" s="7" t="s">
        <v>796</v>
      </c>
      <c r="E33" s="7" t="s">
        <v>797</v>
      </c>
      <c r="F33" s="7" t="s">
        <v>89</v>
      </c>
      <c r="G33" s="7" t="s">
        <v>90</v>
      </c>
      <c r="H33" s="7" t="s">
        <v>798</v>
      </c>
    </row>
    <row r="34" customFormat="false" ht="21.75" hidden="false" customHeight="true" outlineLevel="0" collapsed="false">
      <c r="A34" s="2"/>
      <c r="B34" s="33" t="s">
        <v>813</v>
      </c>
      <c r="C34" s="34" t="s">
        <v>835</v>
      </c>
      <c r="D34" s="35"/>
      <c r="E34" s="35"/>
      <c r="F34" s="35"/>
      <c r="G34" s="35"/>
      <c r="H34" s="35"/>
    </row>
    <row r="35" customFormat="false" ht="36" hidden="false" customHeight="true" outlineLevel="0" collapsed="false">
      <c r="A35" s="2"/>
      <c r="B35" s="9" t="s">
        <v>815</v>
      </c>
      <c r="C35" s="17" t="s">
        <v>132</v>
      </c>
      <c r="D35" s="36" t="n">
        <v>1</v>
      </c>
      <c r="E35" s="36" t="n">
        <v>1</v>
      </c>
      <c r="F35" s="18" t="s">
        <v>133</v>
      </c>
      <c r="G35" s="8" t="n">
        <f aca="false">'Master of Price'!$G$29</f>
        <v>24000000</v>
      </c>
      <c r="H35" s="8" t="n">
        <f aca="false">E35*G35</f>
        <v>24000000</v>
      </c>
    </row>
    <row r="36" customFormat="false" ht="27.75" hidden="false" customHeight="true" outlineLevel="0" collapsed="false">
      <c r="A36" s="2"/>
      <c r="B36" s="9" t="s">
        <v>816</v>
      </c>
      <c r="C36" s="17" t="s">
        <v>135</v>
      </c>
      <c r="D36" s="36" t="n">
        <v>1</v>
      </c>
      <c r="E36" s="36" t="n">
        <v>1</v>
      </c>
      <c r="F36" s="18" t="s">
        <v>136</v>
      </c>
      <c r="G36" s="8" t="n">
        <f aca="false">'Master of Price'!$G$30</f>
        <v>1500000</v>
      </c>
      <c r="H36" s="8" t="n">
        <f aca="false">E36*G36</f>
        <v>1500000</v>
      </c>
    </row>
    <row r="37" customFormat="false" ht="36" hidden="false" customHeight="true" outlineLevel="0" collapsed="false">
      <c r="A37" s="2"/>
      <c r="B37" s="9" t="s">
        <v>836</v>
      </c>
      <c r="C37" s="17" t="s">
        <v>138</v>
      </c>
      <c r="D37" s="36" t="n">
        <v>5</v>
      </c>
      <c r="E37" s="36" t="n">
        <v>5</v>
      </c>
      <c r="F37" s="18" t="s">
        <v>133</v>
      </c>
      <c r="G37" s="8" t="n">
        <f aca="false">'Master of Price'!$G$31</f>
        <v>2100000</v>
      </c>
      <c r="H37" s="8" t="n">
        <f aca="false">E37*G37</f>
        <v>10500000</v>
      </c>
    </row>
    <row r="38" customFormat="false" ht="36" hidden="false" customHeight="true" outlineLevel="0" collapsed="false">
      <c r="A38" s="2"/>
      <c r="B38" s="9" t="s">
        <v>837</v>
      </c>
      <c r="C38" s="17" t="s">
        <v>140</v>
      </c>
      <c r="D38" s="36" t="n">
        <v>1</v>
      </c>
      <c r="E38" s="36" t="n">
        <v>1</v>
      </c>
      <c r="F38" s="18" t="s">
        <v>136</v>
      </c>
      <c r="G38" s="8" t="n">
        <f aca="false">'Master of Price'!$G$32</f>
        <v>2500000</v>
      </c>
      <c r="H38" s="8" t="n">
        <f aca="false">E38*G38</f>
        <v>2500000</v>
      </c>
    </row>
    <row r="39" customFormat="false" ht="25.5" hidden="false" customHeight="true" outlineLevel="0" collapsed="false">
      <c r="A39" s="2"/>
      <c r="B39" s="23" t="s">
        <v>838</v>
      </c>
      <c r="C39" s="23"/>
      <c r="D39" s="23"/>
      <c r="E39" s="23"/>
      <c r="F39" s="23"/>
      <c r="G39" s="23"/>
      <c r="H39" s="11" t="n">
        <f aca="false">SUM(H35:H38)</f>
        <v>38500000</v>
      </c>
    </row>
    <row r="40" customFormat="false" ht="21.75" hidden="false" customHeight="true" outlineLevel="0" collapsed="false">
      <c r="A40" s="2"/>
      <c r="B40" s="37" t="s">
        <v>818</v>
      </c>
      <c r="C40" s="37"/>
      <c r="D40" s="37"/>
      <c r="E40" s="37"/>
      <c r="F40" s="37"/>
      <c r="G40" s="37"/>
      <c r="H40" s="38" t="n">
        <f aca="false">H43-(H20+H31+H39)</f>
        <v>3648237</v>
      </c>
    </row>
    <row r="41" customFormat="false" ht="27.75" hidden="false" customHeight="true" outlineLevel="0" collapsed="false">
      <c r="A41" s="2"/>
      <c r="B41" s="10" t="s">
        <v>819</v>
      </c>
      <c r="C41" s="10"/>
      <c r="D41" s="10"/>
      <c r="E41" s="10"/>
      <c r="F41" s="10"/>
      <c r="G41" s="10"/>
      <c r="H41" s="39" t="n">
        <f aca="false">H20+H31+H39+H40</f>
        <v>75939562</v>
      </c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</row>
    <row r="43" customFormat="false" ht="21.75" hidden="false" customHeight="true" outlineLevel="0" collapsed="false">
      <c r="A43" s="2"/>
      <c r="B43" s="21" t="s">
        <v>820</v>
      </c>
      <c r="C43" s="21"/>
      <c r="D43" s="21"/>
      <c r="E43" s="21"/>
      <c r="F43" s="21"/>
      <c r="G43" s="21"/>
      <c r="H43" s="40" t="n">
        <f aca="false">RINGKASAN!$K$26</f>
        <v>75939562</v>
      </c>
    </row>
    <row r="44" customFormat="false" ht="21.75" hidden="false" customHeight="true" outlineLevel="0" collapsed="false">
      <c r="A44" s="2"/>
      <c r="B44" s="41" t="s">
        <v>821</v>
      </c>
      <c r="C44" s="41"/>
      <c r="D44" s="41"/>
      <c r="E44" s="41"/>
      <c r="F44" s="41"/>
      <c r="G44" s="41"/>
      <c r="H44" s="8" t="n">
        <f aca="false">H41-H43</f>
        <v>0</v>
      </c>
    </row>
    <row r="45" customFormat="false" ht="21.75" hidden="false" customHeight="true" outlineLevel="0" collapsed="false">
      <c r="A45" s="2"/>
      <c r="B45" s="42" t="s">
        <v>822</v>
      </c>
      <c r="C45" s="42"/>
      <c r="D45" s="42"/>
      <c r="E45" s="42"/>
      <c r="F45" s="42"/>
      <c r="G45" s="42"/>
      <c r="H45" s="37" t="str">
        <f aca="false">IF(H40&lt;0,"OVER BUDGET","OK")</f>
        <v>OK</v>
      </c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</row>
    <row r="61" customFormat="false" ht="15" hidden="false" customHeight="false" outlineLevel="0" collapsed="false">
      <c r="A61" s="2"/>
      <c r="B61" s="2"/>
      <c r="C61" s="2"/>
      <c r="D61" s="2"/>
      <c r="E61" s="2"/>
      <c r="F61" s="2"/>
      <c r="G61" s="2"/>
      <c r="H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  <c r="G62" s="2"/>
      <c r="H62" s="2"/>
    </row>
    <row r="63" customFormat="false" ht="15" hidden="false" customHeight="false" outlineLevel="0" collapsed="false">
      <c r="A63" s="2"/>
      <c r="B63" s="2"/>
      <c r="C63" s="2"/>
      <c r="D63" s="2"/>
      <c r="E63" s="2"/>
      <c r="F63" s="2"/>
      <c r="G63" s="2"/>
      <c r="H63" s="2"/>
    </row>
    <row r="64" customFormat="false" ht="15" hidden="false" customHeight="false" outlineLevel="0" collapsed="false">
      <c r="A64" s="2"/>
      <c r="B64" s="2"/>
      <c r="C64" s="2"/>
      <c r="D64" s="2"/>
      <c r="E64" s="2"/>
      <c r="F64" s="2"/>
      <c r="G64" s="2"/>
      <c r="H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</row>
    <row r="66" customFormat="false" ht="15" hidden="false" customHeight="false" outlineLevel="0" collapsed="false">
      <c r="A66" s="2"/>
      <c r="B66" s="2"/>
      <c r="C66" s="2"/>
      <c r="D66" s="2"/>
      <c r="E66" s="2"/>
      <c r="F66" s="2"/>
      <c r="G66" s="2"/>
      <c r="H66" s="2"/>
    </row>
    <row r="67" customFormat="false" ht="15" hidden="false" customHeight="false" outlineLevel="0" collapsed="false">
      <c r="A67" s="2"/>
      <c r="B67" s="2"/>
      <c r="C67" s="2"/>
      <c r="D67" s="2"/>
      <c r="E67" s="2"/>
      <c r="F67" s="2"/>
      <c r="G67" s="2"/>
      <c r="H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"/>
      <c r="H70" s="2"/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</row>
    <row r="250" customFormat="false" ht="15.7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</row>
    <row r="251" customFormat="false" ht="15.7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</row>
    <row r="252" customFormat="false" ht="15.7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</row>
    <row r="253" customFormat="false" ht="15.7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</row>
    <row r="254" customFormat="false" ht="15.7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</row>
    <row r="255" customFormat="false" ht="15.7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</row>
    <row r="256" customFormat="false" ht="15.7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</row>
    <row r="257" customFormat="false" ht="15.7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</row>
    <row r="258" customFormat="false" ht="15.7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</row>
    <row r="259" customFormat="false" ht="15.7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</row>
    <row r="260" customFormat="false" ht="15.7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</row>
    <row r="261" customFormat="false" ht="15.7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</row>
    <row r="262" customFormat="false" ht="15.7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</row>
    <row r="263" customFormat="false" ht="15.7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</row>
    <row r="264" customFormat="false" ht="15.7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</row>
    <row r="265" customFormat="false" ht="15.7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</row>
    <row r="266" customFormat="false" ht="15.7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</row>
    <row r="267" customFormat="false" ht="15.7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</row>
    <row r="268" customFormat="false" ht="15.7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</row>
    <row r="269" customFormat="false" ht="15.7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</row>
    <row r="270" customFormat="false" ht="15.7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</row>
    <row r="271" customFormat="false" ht="15.7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</row>
    <row r="272" customFormat="false" ht="15.7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</row>
    <row r="273" customFormat="false" ht="15.7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</row>
    <row r="274" customFormat="false" ht="15.7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</row>
    <row r="275" customFormat="false" ht="15.7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</row>
    <row r="276" customFormat="false" ht="15.7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</row>
    <row r="277" customFormat="false" ht="15.7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</row>
    <row r="278" customFormat="false" ht="15.7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</row>
    <row r="279" customFormat="false" ht="15.7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</row>
    <row r="280" customFormat="false" ht="15.7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</row>
    <row r="281" customFormat="false" ht="15.7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</row>
    <row r="282" customFormat="false" ht="15.7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</row>
    <row r="283" customFormat="false" ht="15.7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</row>
    <row r="284" customFormat="false" ht="15.7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</row>
    <row r="285" customFormat="false" ht="15.7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</row>
    <row r="286" customFormat="false" ht="15.7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</row>
    <row r="287" customFormat="false" ht="15.7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</row>
    <row r="288" customFormat="false" ht="15.7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</row>
    <row r="289" customFormat="false" ht="15.7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</row>
    <row r="290" customFormat="false" ht="15.7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</row>
    <row r="291" customFormat="false" ht="15.7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</row>
    <row r="292" customFormat="false" ht="15.7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</row>
    <row r="293" customFormat="false" ht="15.7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</row>
    <row r="294" customFormat="false" ht="15.7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</row>
    <row r="295" customFormat="false" ht="15.7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</row>
    <row r="296" customFormat="false" ht="15.7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</row>
    <row r="297" customFormat="false" ht="15.7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</row>
    <row r="298" customFormat="false" ht="15.7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</row>
    <row r="299" customFormat="false" ht="15.7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</row>
    <row r="300" customFormat="false" ht="15.7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</row>
    <row r="301" customFormat="false" ht="15.7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</row>
    <row r="302" customFormat="false" ht="15.7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</row>
    <row r="303" customFormat="false" ht="15.7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</row>
    <row r="304" customFormat="false" ht="15.7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</row>
    <row r="305" customFormat="false" ht="15.7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</row>
    <row r="306" customFormat="false" ht="15.7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</row>
    <row r="307" customFormat="false" ht="15.7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</row>
    <row r="308" customFormat="false" ht="15.7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</row>
    <row r="309" customFormat="false" ht="15.7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</row>
    <row r="310" customFormat="false" ht="15.7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</row>
    <row r="311" customFormat="false" ht="15.7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</row>
    <row r="312" customFormat="false" ht="15.7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</row>
    <row r="313" customFormat="false" ht="15.7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</row>
    <row r="314" customFormat="false" ht="15.7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</row>
    <row r="315" customFormat="false" ht="15.7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</row>
    <row r="316" customFormat="false" ht="15.7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</row>
    <row r="317" customFormat="false" ht="15.7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</row>
    <row r="318" customFormat="false" ht="15.7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</row>
    <row r="319" customFormat="false" ht="15.7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</row>
    <row r="320" customFormat="false" ht="15.7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</row>
    <row r="321" customFormat="false" ht="15.7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</row>
    <row r="322" customFormat="false" ht="15.7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</row>
    <row r="323" customFormat="false" ht="15.7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</row>
    <row r="324" customFormat="false" ht="15.7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</row>
    <row r="325" customFormat="false" ht="15.7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</row>
    <row r="326" customFormat="false" ht="15.7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</row>
    <row r="327" customFormat="false" ht="15.7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</row>
    <row r="328" customFormat="false" ht="15.7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</row>
    <row r="329" customFormat="false" ht="15.7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</row>
    <row r="330" customFormat="false" ht="15.7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</row>
    <row r="331" customFormat="false" ht="15.7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</row>
    <row r="332" customFormat="false" ht="15.7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</row>
    <row r="333" customFormat="false" ht="15.7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</row>
    <row r="334" customFormat="false" ht="15.7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</row>
    <row r="335" customFormat="false" ht="15.7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</row>
    <row r="336" customFormat="false" ht="15.7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</row>
    <row r="337" customFormat="false" ht="15.7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</row>
    <row r="338" customFormat="false" ht="15.7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</row>
    <row r="339" customFormat="false" ht="15.7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</row>
    <row r="340" customFormat="false" ht="15.7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</row>
    <row r="341" customFormat="false" ht="15.7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</row>
    <row r="342" customFormat="false" ht="15.7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</row>
    <row r="343" customFormat="false" ht="15.7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</row>
    <row r="344" customFormat="false" ht="15.7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</row>
    <row r="345" customFormat="false" ht="15.7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</row>
    <row r="346" customFormat="false" ht="15.7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</row>
    <row r="347" customFormat="false" ht="15.7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</row>
    <row r="348" customFormat="false" ht="15.7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</row>
    <row r="349" customFormat="false" ht="15.7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</row>
    <row r="350" customFormat="false" ht="15.7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</row>
    <row r="351" customFormat="false" ht="15.7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</row>
    <row r="352" customFormat="false" ht="15.7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</row>
    <row r="353" customFormat="false" ht="15.7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</row>
    <row r="354" customFormat="false" ht="15.7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</row>
    <row r="355" customFormat="false" ht="15.7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</row>
    <row r="356" customFormat="false" ht="15.7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</row>
    <row r="357" customFormat="false" ht="15.7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</row>
    <row r="358" customFormat="false" ht="15.7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</row>
    <row r="359" customFormat="false" ht="15.7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</row>
    <row r="360" customFormat="false" ht="15.7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</row>
    <row r="361" customFormat="false" ht="15.7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</row>
    <row r="362" customFormat="false" ht="15.7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</row>
    <row r="363" customFormat="false" ht="15.7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</row>
    <row r="364" customFormat="false" ht="15.7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</row>
    <row r="365" customFormat="false" ht="15.7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</row>
    <row r="366" customFormat="false" ht="15.7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</row>
    <row r="367" customFormat="false" ht="15.7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</row>
    <row r="368" customFormat="false" ht="15.7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</row>
    <row r="369" customFormat="false" ht="15.7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</row>
    <row r="370" customFormat="false" ht="15.7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</row>
    <row r="371" customFormat="false" ht="15.7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</row>
    <row r="372" customFormat="false" ht="15.7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</row>
    <row r="373" customFormat="false" ht="15.7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</row>
    <row r="374" customFormat="false" ht="15.7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</row>
    <row r="375" customFormat="false" ht="15.7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</row>
    <row r="376" customFormat="false" ht="15.7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</row>
    <row r="377" customFormat="false" ht="15.7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</row>
    <row r="378" customFormat="false" ht="15.7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</row>
    <row r="379" customFormat="false" ht="15.7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</row>
    <row r="380" customFormat="false" ht="15.7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</row>
    <row r="381" customFormat="false" ht="15.7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</row>
    <row r="382" customFormat="false" ht="15.7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</row>
    <row r="383" customFormat="false" ht="15.7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</row>
    <row r="384" customFormat="false" ht="15.7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</row>
    <row r="385" customFormat="false" ht="15.7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</row>
    <row r="386" customFormat="false" ht="15.7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</row>
    <row r="387" customFormat="false" ht="15.7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</row>
    <row r="388" customFormat="false" ht="15.7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</row>
    <row r="389" customFormat="false" ht="15.7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</row>
    <row r="390" customFormat="false" ht="15.7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</row>
    <row r="391" customFormat="false" ht="15.7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</row>
    <row r="392" customFormat="false" ht="15.7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</row>
    <row r="393" customFormat="false" ht="15.7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</row>
    <row r="394" customFormat="false" ht="15.7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</row>
    <row r="395" customFormat="false" ht="15.7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</row>
    <row r="396" customFormat="false" ht="15.7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</row>
    <row r="397" customFormat="false" ht="15.7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</row>
    <row r="398" customFormat="false" ht="15.7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</row>
    <row r="399" customFormat="false" ht="15.7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</row>
    <row r="400" customFormat="false" ht="15.7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</row>
    <row r="401" customFormat="false" ht="15.7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</row>
    <row r="402" customFormat="false" ht="15.7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</row>
    <row r="403" customFormat="false" ht="15.7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</row>
    <row r="404" customFormat="false" ht="15.7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</row>
    <row r="405" customFormat="false" ht="15.7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</row>
    <row r="406" customFormat="false" ht="15.7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</row>
    <row r="407" customFormat="false" ht="15.7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</row>
    <row r="408" customFormat="false" ht="15.7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</row>
    <row r="409" customFormat="false" ht="15.7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</row>
    <row r="410" customFormat="false" ht="15.7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</row>
    <row r="411" customFormat="false" ht="15.7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</row>
    <row r="412" customFormat="false" ht="15.7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</row>
    <row r="413" customFormat="false" ht="15.7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</row>
    <row r="414" customFormat="false" ht="15.7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</row>
    <row r="415" customFormat="false" ht="15.7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</row>
    <row r="416" customFormat="false" ht="15.7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</row>
    <row r="417" customFormat="false" ht="15.7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</row>
    <row r="418" customFormat="false" ht="15.7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</row>
    <row r="419" customFormat="false" ht="15.7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</row>
    <row r="420" customFormat="false" ht="15.7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</row>
    <row r="421" customFormat="false" ht="15.7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</row>
    <row r="422" customFormat="false" ht="15.7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</row>
    <row r="423" customFormat="false" ht="15.7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</row>
    <row r="424" customFormat="false" ht="15.7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</row>
    <row r="425" customFormat="false" ht="15.7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</row>
    <row r="426" customFormat="false" ht="15.7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</row>
    <row r="427" customFormat="false" ht="15.7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</row>
    <row r="428" customFormat="false" ht="15.7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</row>
    <row r="429" customFormat="false" ht="15.7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</row>
    <row r="430" customFormat="false" ht="15.7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</row>
    <row r="431" customFormat="false" ht="15.7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</row>
    <row r="432" customFormat="false" ht="15.7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</row>
    <row r="433" customFormat="false" ht="15.7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</row>
    <row r="434" customFormat="false" ht="15.7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</row>
    <row r="435" customFormat="false" ht="15.7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</row>
    <row r="436" customFormat="false" ht="15.7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</row>
    <row r="437" customFormat="false" ht="15.7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</row>
    <row r="438" customFormat="false" ht="15.7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</row>
    <row r="439" customFormat="false" ht="15.7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</row>
    <row r="440" customFormat="false" ht="15.7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</row>
    <row r="441" customFormat="false" ht="15.7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</row>
    <row r="442" customFormat="false" ht="15.7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</row>
    <row r="443" customFormat="false" ht="15.7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</row>
    <row r="444" customFormat="false" ht="15.7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</row>
    <row r="445" customFormat="false" ht="15.7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</row>
    <row r="446" customFormat="false" ht="15.7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</row>
    <row r="447" customFormat="false" ht="15.7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</row>
    <row r="448" customFormat="false" ht="15.7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</row>
    <row r="449" customFormat="false" ht="15.7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</row>
    <row r="450" customFormat="false" ht="15.7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</row>
    <row r="451" customFormat="false" ht="15.7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</row>
    <row r="452" customFormat="false" ht="15.7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</row>
    <row r="453" customFormat="false" ht="15.7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</row>
    <row r="454" customFormat="false" ht="15.7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</row>
    <row r="455" customFormat="false" ht="15.7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</row>
    <row r="456" customFormat="false" ht="15.7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</row>
    <row r="457" customFormat="false" ht="15.7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</row>
    <row r="458" customFormat="false" ht="15.7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</row>
    <row r="459" customFormat="false" ht="15.7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</row>
    <row r="460" customFormat="false" ht="15.7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</row>
    <row r="461" customFormat="false" ht="15.7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</row>
    <row r="462" customFormat="false" ht="15.7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</row>
    <row r="463" customFormat="false" ht="15.7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</row>
    <row r="464" customFormat="false" ht="15.7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</row>
    <row r="465" customFormat="false" ht="15.7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</row>
    <row r="466" customFormat="false" ht="15.7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</row>
    <row r="467" customFormat="false" ht="15.7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</row>
    <row r="468" customFormat="false" ht="15.7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</row>
    <row r="469" customFormat="false" ht="15.7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</row>
    <row r="470" customFormat="false" ht="15.7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</row>
    <row r="471" customFormat="false" ht="15.7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</row>
    <row r="472" customFormat="false" ht="15.7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</row>
    <row r="473" customFormat="false" ht="15.7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</row>
    <row r="474" customFormat="false" ht="15.7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</row>
    <row r="475" customFormat="false" ht="15.7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</row>
    <row r="476" customFormat="false" ht="15.7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</row>
    <row r="477" customFormat="false" ht="15.7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</row>
    <row r="478" customFormat="false" ht="15.7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</row>
    <row r="479" customFormat="false" ht="15.7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</row>
    <row r="480" customFormat="false" ht="15.7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</row>
    <row r="481" customFormat="false" ht="15.7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</row>
    <row r="482" customFormat="false" ht="15.7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</row>
    <row r="483" customFormat="false" ht="15.7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</row>
    <row r="484" customFormat="false" ht="15.7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</row>
    <row r="485" customFormat="false" ht="15.7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</row>
    <row r="486" customFormat="false" ht="15.7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</row>
    <row r="487" customFormat="false" ht="15.7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</row>
    <row r="488" customFormat="false" ht="15.7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</row>
    <row r="489" customFormat="false" ht="15.7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</row>
    <row r="490" customFormat="false" ht="15.7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</row>
    <row r="491" customFormat="false" ht="15.7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</row>
    <row r="492" customFormat="false" ht="15.7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</row>
    <row r="493" customFormat="false" ht="15.7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</row>
    <row r="494" customFormat="false" ht="15.7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</row>
    <row r="495" customFormat="false" ht="15.7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</row>
    <row r="496" customFormat="false" ht="15.7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</row>
    <row r="497" customFormat="false" ht="15.7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</row>
    <row r="498" customFormat="false" ht="15.7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</row>
    <row r="499" customFormat="false" ht="15.7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</row>
    <row r="500" customFormat="false" ht="15.7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</row>
    <row r="501" customFormat="false" ht="15.7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</row>
    <row r="502" customFormat="false" ht="15.7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</row>
    <row r="503" customFormat="false" ht="15.7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</row>
    <row r="504" customFormat="false" ht="15.7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</row>
    <row r="505" customFormat="false" ht="15.7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</row>
    <row r="506" customFormat="false" ht="15.7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</row>
    <row r="507" customFormat="false" ht="15.7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</row>
    <row r="508" customFormat="false" ht="15.7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</row>
    <row r="509" customFormat="false" ht="15.7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</row>
    <row r="510" customFormat="false" ht="15.7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</row>
    <row r="511" customFormat="false" ht="15.7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</row>
    <row r="512" customFormat="false" ht="15.7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</row>
    <row r="513" customFormat="false" ht="15.7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</row>
    <row r="514" customFormat="false" ht="15.7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</row>
    <row r="515" customFormat="false" ht="15.7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</row>
    <row r="516" customFormat="false" ht="15.7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</row>
    <row r="517" customFormat="false" ht="15.7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</row>
    <row r="518" customFormat="false" ht="15.7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</row>
    <row r="519" customFormat="false" ht="15.7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</row>
    <row r="520" customFormat="false" ht="15.7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</row>
    <row r="521" customFormat="false" ht="15.7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</row>
    <row r="522" customFormat="false" ht="15.7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</row>
    <row r="523" customFormat="false" ht="15.7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</row>
    <row r="524" customFormat="false" ht="15.7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</row>
    <row r="525" customFormat="false" ht="15.7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</row>
    <row r="526" customFormat="false" ht="15.7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</row>
    <row r="527" customFormat="false" ht="15.7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</row>
    <row r="528" customFormat="false" ht="15.7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</row>
    <row r="529" customFormat="false" ht="15.7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</row>
    <row r="530" customFormat="false" ht="15.7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</row>
    <row r="531" customFormat="false" ht="15.7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</row>
    <row r="532" customFormat="false" ht="15.7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</row>
    <row r="533" customFormat="false" ht="15.7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</row>
    <row r="534" customFormat="false" ht="15.7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</row>
    <row r="535" customFormat="false" ht="15.7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</row>
    <row r="536" customFormat="false" ht="15.7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</row>
    <row r="537" customFormat="false" ht="15.7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</row>
    <row r="538" customFormat="false" ht="15.7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</row>
    <row r="539" customFormat="false" ht="15.7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</row>
    <row r="540" customFormat="false" ht="15.7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</row>
    <row r="541" customFormat="false" ht="15.7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</row>
    <row r="542" customFormat="false" ht="15.7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</row>
    <row r="543" customFormat="false" ht="15.7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</row>
    <row r="544" customFormat="false" ht="15.7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</row>
    <row r="545" customFormat="false" ht="15.7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</row>
    <row r="546" customFormat="false" ht="15.7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</row>
    <row r="547" customFormat="false" ht="15.7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</row>
    <row r="548" customFormat="false" ht="15.7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</row>
    <row r="549" customFormat="false" ht="15.7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</row>
    <row r="550" customFormat="false" ht="15.7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</row>
    <row r="551" customFormat="false" ht="15.7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</row>
    <row r="552" customFormat="false" ht="15.7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</row>
    <row r="553" customFormat="false" ht="15.7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</row>
    <row r="554" customFormat="false" ht="15.7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</row>
    <row r="555" customFormat="false" ht="15.7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</row>
    <row r="556" customFormat="false" ht="15.7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</row>
    <row r="557" customFormat="false" ht="15.7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</row>
    <row r="558" customFormat="false" ht="15.7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</row>
    <row r="559" customFormat="false" ht="15.7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</row>
    <row r="560" customFormat="false" ht="15.7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</row>
    <row r="561" customFormat="false" ht="15.7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</row>
    <row r="562" customFormat="false" ht="15.7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</row>
    <row r="563" customFormat="false" ht="15.7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</row>
    <row r="564" customFormat="false" ht="15.7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</row>
    <row r="565" customFormat="false" ht="15.7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</row>
    <row r="566" customFormat="false" ht="15.7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</row>
    <row r="567" customFormat="false" ht="15.7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</row>
    <row r="568" customFormat="false" ht="15.7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</row>
    <row r="569" customFormat="false" ht="15.7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</row>
    <row r="570" customFormat="false" ht="15.7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</row>
    <row r="571" customFormat="false" ht="15.7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</row>
    <row r="572" customFormat="false" ht="15.7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</row>
    <row r="573" customFormat="false" ht="15.7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</row>
    <row r="574" customFormat="false" ht="15.7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</row>
    <row r="575" customFormat="false" ht="15.7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</row>
    <row r="576" customFormat="false" ht="15.7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</row>
    <row r="577" customFormat="false" ht="15.7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</row>
    <row r="578" customFormat="false" ht="15.7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</row>
    <row r="579" customFormat="false" ht="15.7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</row>
    <row r="580" customFormat="false" ht="15.7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</row>
    <row r="581" customFormat="false" ht="15.7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</row>
    <row r="582" customFormat="false" ht="15.7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</row>
    <row r="583" customFormat="false" ht="15.7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</row>
    <row r="584" customFormat="false" ht="15.7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</row>
    <row r="585" customFormat="false" ht="15.7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</row>
    <row r="586" customFormat="false" ht="15.7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</row>
    <row r="587" customFormat="false" ht="15.7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</row>
    <row r="588" customFormat="false" ht="15.7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</row>
    <row r="589" customFormat="false" ht="15.7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</row>
    <row r="590" customFormat="false" ht="15.7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</row>
    <row r="591" customFormat="false" ht="15.7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</row>
    <row r="592" customFormat="false" ht="15.7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</row>
    <row r="593" customFormat="false" ht="15.7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</row>
    <row r="594" customFormat="false" ht="15.7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</row>
    <row r="595" customFormat="false" ht="15.7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</row>
    <row r="596" customFormat="false" ht="15.7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</row>
    <row r="597" customFormat="false" ht="15.7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</row>
    <row r="598" customFormat="false" ht="15.7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</row>
    <row r="599" customFormat="false" ht="15.7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</row>
    <row r="600" customFormat="false" ht="15.7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</row>
    <row r="601" customFormat="false" ht="15.7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</row>
    <row r="602" customFormat="false" ht="15.7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</row>
    <row r="603" customFormat="false" ht="15.7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</row>
    <row r="604" customFormat="false" ht="15.7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</row>
    <row r="605" customFormat="false" ht="15.7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</row>
    <row r="606" customFormat="false" ht="15.7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</row>
    <row r="607" customFormat="false" ht="15.7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</row>
    <row r="608" customFormat="false" ht="15.7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</row>
    <row r="609" customFormat="false" ht="15.7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</row>
    <row r="610" customFormat="false" ht="15.7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</row>
    <row r="611" customFormat="false" ht="15.7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</row>
    <row r="612" customFormat="false" ht="15.7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</row>
    <row r="613" customFormat="false" ht="15.7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</row>
    <row r="614" customFormat="false" ht="15.7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</row>
    <row r="615" customFormat="false" ht="15.7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</row>
    <row r="616" customFormat="false" ht="15.7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</row>
    <row r="617" customFormat="false" ht="15.7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</row>
    <row r="618" customFormat="false" ht="15.7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</row>
    <row r="619" customFormat="false" ht="15.7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</row>
    <row r="620" customFormat="false" ht="15.7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</row>
    <row r="621" customFormat="false" ht="15.7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</row>
    <row r="622" customFormat="false" ht="15.7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</row>
    <row r="623" customFormat="false" ht="15.7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</row>
    <row r="624" customFormat="false" ht="15.7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</row>
    <row r="625" customFormat="false" ht="15.7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</row>
    <row r="626" customFormat="false" ht="15.7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</row>
    <row r="627" customFormat="false" ht="15.7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</row>
    <row r="628" customFormat="false" ht="15.7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</row>
    <row r="629" customFormat="false" ht="15.7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</row>
    <row r="630" customFormat="false" ht="15.7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</row>
    <row r="631" customFormat="false" ht="15.7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</row>
    <row r="632" customFormat="false" ht="15.7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</row>
    <row r="633" customFormat="false" ht="15.7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</row>
    <row r="634" customFormat="false" ht="15.7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</row>
    <row r="635" customFormat="false" ht="15.7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</row>
    <row r="636" customFormat="false" ht="15.7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</row>
    <row r="637" customFormat="false" ht="15.7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</row>
    <row r="638" customFormat="false" ht="15.7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</row>
    <row r="639" customFormat="false" ht="15.7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</row>
    <row r="640" customFormat="false" ht="15.7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</row>
    <row r="641" customFormat="false" ht="15.7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</row>
    <row r="642" customFormat="false" ht="15.7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</row>
    <row r="643" customFormat="false" ht="15.7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</row>
    <row r="644" customFormat="false" ht="15.7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</row>
    <row r="645" customFormat="false" ht="15.7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</row>
    <row r="646" customFormat="false" ht="15.7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</row>
    <row r="647" customFormat="false" ht="15.7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</row>
    <row r="648" customFormat="false" ht="15.7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</row>
    <row r="649" customFormat="false" ht="15.7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</row>
    <row r="650" customFormat="false" ht="15.7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</row>
    <row r="651" customFormat="false" ht="15.7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</row>
    <row r="652" customFormat="false" ht="15.7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</row>
    <row r="653" customFormat="false" ht="15.7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</row>
    <row r="654" customFormat="false" ht="15.7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</row>
    <row r="655" customFormat="false" ht="15.7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</row>
    <row r="656" customFormat="false" ht="15.7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</row>
    <row r="657" customFormat="false" ht="15.7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</row>
    <row r="658" customFormat="false" ht="15.7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</row>
    <row r="659" customFormat="false" ht="15.7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</row>
    <row r="660" customFormat="false" ht="15.7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</row>
    <row r="661" customFormat="false" ht="15.7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</row>
    <row r="662" customFormat="false" ht="15.7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</row>
    <row r="663" customFormat="false" ht="15.7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</row>
    <row r="664" customFormat="false" ht="15.7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</row>
    <row r="665" customFormat="false" ht="15.7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</row>
    <row r="666" customFormat="false" ht="15.7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</row>
    <row r="667" customFormat="false" ht="15.7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</row>
    <row r="668" customFormat="false" ht="15.7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</row>
    <row r="669" customFormat="false" ht="15.7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</row>
    <row r="670" customFormat="false" ht="15.7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</row>
    <row r="671" customFormat="false" ht="15.7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</row>
    <row r="672" customFormat="false" ht="15.7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</row>
    <row r="673" customFormat="false" ht="15.7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</row>
    <row r="674" customFormat="false" ht="15.7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</row>
    <row r="675" customFormat="false" ht="15.7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</row>
    <row r="676" customFormat="false" ht="15.7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</row>
    <row r="677" customFormat="false" ht="15.7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</row>
    <row r="678" customFormat="false" ht="15.7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</row>
    <row r="679" customFormat="false" ht="15.7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</row>
    <row r="680" customFormat="false" ht="15.7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</row>
    <row r="681" customFormat="false" ht="15.7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</row>
    <row r="682" customFormat="false" ht="15.7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</row>
    <row r="683" customFormat="false" ht="15.7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</row>
    <row r="684" customFormat="false" ht="15.7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</row>
    <row r="685" customFormat="false" ht="15.7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</row>
    <row r="686" customFormat="false" ht="15.7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</row>
    <row r="687" customFormat="false" ht="15.7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</row>
    <row r="688" customFormat="false" ht="15.7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</row>
    <row r="689" customFormat="false" ht="15.7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</row>
    <row r="690" customFormat="false" ht="15.7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</row>
    <row r="691" customFormat="false" ht="15.7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</row>
    <row r="692" customFormat="false" ht="15.7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</row>
    <row r="693" customFormat="false" ht="15.7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</row>
    <row r="694" customFormat="false" ht="15.7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</row>
    <row r="695" customFormat="false" ht="15.7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</row>
    <row r="696" customFormat="false" ht="15.7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</row>
    <row r="697" customFormat="false" ht="15.7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</row>
    <row r="698" customFormat="false" ht="15.7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</row>
    <row r="699" customFormat="false" ht="15.7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</row>
    <row r="700" customFormat="false" ht="15.7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</row>
    <row r="701" customFormat="false" ht="15.7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</row>
    <row r="702" customFormat="false" ht="15.7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</row>
    <row r="703" customFormat="false" ht="15.7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</row>
    <row r="704" customFormat="false" ht="15.7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</row>
    <row r="705" customFormat="false" ht="15.7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</row>
    <row r="706" customFormat="false" ht="15.7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</row>
    <row r="707" customFormat="false" ht="15.7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</row>
    <row r="708" customFormat="false" ht="15.7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</row>
    <row r="709" customFormat="false" ht="15.7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</row>
    <row r="710" customFormat="false" ht="15.7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</row>
    <row r="711" customFormat="false" ht="15.7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</row>
    <row r="712" customFormat="false" ht="15.7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</row>
    <row r="713" customFormat="false" ht="15.7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</row>
    <row r="714" customFormat="false" ht="15.7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</row>
    <row r="715" customFormat="false" ht="15.7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</row>
    <row r="716" customFormat="false" ht="15.7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</row>
    <row r="717" customFormat="false" ht="15.7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</row>
    <row r="718" customFormat="false" ht="15.7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</row>
    <row r="719" customFormat="false" ht="15.7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</row>
    <row r="720" customFormat="false" ht="15.7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</row>
    <row r="721" customFormat="false" ht="15.7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</row>
    <row r="722" customFormat="false" ht="15.7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</row>
    <row r="723" customFormat="false" ht="15.7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</row>
    <row r="724" customFormat="false" ht="15.7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</row>
    <row r="725" customFormat="false" ht="15.7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</row>
    <row r="726" customFormat="false" ht="15.7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</row>
    <row r="727" customFormat="false" ht="15.7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</row>
    <row r="728" customFormat="false" ht="15.7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</row>
    <row r="729" customFormat="false" ht="15.7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</row>
    <row r="730" customFormat="false" ht="15.7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</row>
    <row r="731" customFormat="false" ht="15.7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</row>
    <row r="732" customFormat="false" ht="15.7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</row>
    <row r="733" customFormat="false" ht="15.7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</row>
    <row r="734" customFormat="false" ht="15.7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</row>
    <row r="735" customFormat="false" ht="15.7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</row>
    <row r="736" customFormat="false" ht="15.7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</row>
    <row r="737" customFormat="false" ht="15.7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</row>
    <row r="738" customFormat="false" ht="15.7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</row>
    <row r="739" customFormat="false" ht="15.7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</row>
    <row r="740" customFormat="false" ht="15.7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</row>
    <row r="741" customFormat="false" ht="15.7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</row>
    <row r="742" customFormat="false" ht="15.7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</row>
    <row r="743" customFormat="false" ht="15.7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</row>
    <row r="744" customFormat="false" ht="15.7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</row>
    <row r="745" customFormat="false" ht="15.7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</row>
    <row r="746" customFormat="false" ht="15.7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</row>
    <row r="747" customFormat="false" ht="15.7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</row>
    <row r="748" customFormat="false" ht="15.7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</row>
    <row r="749" customFormat="false" ht="15.7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</row>
    <row r="750" customFormat="false" ht="15.7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</row>
    <row r="751" customFormat="false" ht="15.7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</row>
    <row r="752" customFormat="false" ht="15.7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</row>
    <row r="753" customFormat="false" ht="15.7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</row>
    <row r="754" customFormat="false" ht="15.7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</row>
    <row r="755" customFormat="false" ht="15.7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</row>
    <row r="756" customFormat="false" ht="15.7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</row>
    <row r="757" customFormat="false" ht="15.7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</row>
    <row r="758" customFormat="false" ht="15.7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</row>
    <row r="759" customFormat="false" ht="15.7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</row>
    <row r="760" customFormat="false" ht="15.7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</row>
    <row r="761" customFormat="false" ht="15.7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</row>
    <row r="762" customFormat="false" ht="15.7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</row>
    <row r="763" customFormat="false" ht="15.7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</row>
    <row r="764" customFormat="false" ht="15.7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</row>
    <row r="765" customFormat="false" ht="15.7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</row>
    <row r="766" customFormat="false" ht="15.7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</row>
    <row r="767" customFormat="false" ht="15.7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</row>
    <row r="768" customFormat="false" ht="15.7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</row>
    <row r="769" customFormat="false" ht="15.7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</row>
    <row r="770" customFormat="false" ht="15.7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</row>
    <row r="771" customFormat="false" ht="15.7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</row>
    <row r="772" customFormat="false" ht="15.7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</row>
    <row r="773" customFormat="false" ht="15.7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</row>
    <row r="774" customFormat="false" ht="15.7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</row>
    <row r="775" customFormat="false" ht="15.7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</row>
    <row r="776" customFormat="false" ht="15.7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</row>
    <row r="777" customFormat="false" ht="15.7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</row>
    <row r="778" customFormat="false" ht="15.7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</row>
    <row r="779" customFormat="false" ht="15.7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</row>
    <row r="780" customFormat="false" ht="15.7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</row>
    <row r="781" customFormat="false" ht="15.7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</row>
    <row r="782" customFormat="false" ht="15.7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</row>
    <row r="783" customFormat="false" ht="15.7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</row>
    <row r="784" customFormat="false" ht="15.7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</row>
    <row r="785" customFormat="false" ht="15.7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</row>
    <row r="786" customFormat="false" ht="15.7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</row>
    <row r="787" customFormat="false" ht="15.7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</row>
    <row r="788" customFormat="false" ht="15.7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</row>
    <row r="789" customFormat="false" ht="15.7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</row>
    <row r="790" customFormat="false" ht="15.7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</row>
    <row r="791" customFormat="false" ht="15.7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</row>
    <row r="792" customFormat="false" ht="15.7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</row>
    <row r="793" customFormat="false" ht="15.7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</row>
    <row r="794" customFormat="false" ht="15.7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</row>
    <row r="795" customFormat="false" ht="15.7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</row>
    <row r="796" customFormat="false" ht="15.7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</row>
    <row r="797" customFormat="false" ht="15.7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</row>
    <row r="798" customFormat="false" ht="15.7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</row>
    <row r="799" customFormat="false" ht="15.7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</row>
    <row r="800" customFormat="false" ht="15.7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</row>
    <row r="801" customFormat="false" ht="15.7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</row>
    <row r="802" customFormat="false" ht="15.7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</row>
    <row r="803" customFormat="false" ht="15.7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</row>
    <row r="804" customFormat="false" ht="15.7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</row>
    <row r="805" customFormat="false" ht="15.7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</row>
    <row r="806" customFormat="false" ht="15.7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</row>
    <row r="807" customFormat="false" ht="15.7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</row>
    <row r="808" customFormat="false" ht="15.7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</row>
    <row r="809" customFormat="false" ht="15.7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</row>
    <row r="810" customFormat="false" ht="15.7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</row>
    <row r="811" customFormat="false" ht="15.7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</row>
    <row r="812" customFormat="false" ht="15.7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</row>
    <row r="813" customFormat="false" ht="15.7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</row>
    <row r="814" customFormat="false" ht="15.7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</row>
    <row r="815" customFormat="false" ht="15.7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</row>
    <row r="816" customFormat="false" ht="15.7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</row>
    <row r="817" customFormat="false" ht="15.7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</row>
    <row r="818" customFormat="false" ht="15.7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</row>
    <row r="819" customFormat="false" ht="15.7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</row>
    <row r="820" customFormat="false" ht="15.7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</row>
    <row r="821" customFormat="false" ht="15.7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</row>
    <row r="822" customFormat="false" ht="15.7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</row>
    <row r="823" customFormat="false" ht="15.7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</row>
    <row r="824" customFormat="false" ht="15.7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</row>
    <row r="825" customFormat="false" ht="15.7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</row>
    <row r="826" customFormat="false" ht="15.7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</row>
    <row r="827" customFormat="false" ht="15.7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</row>
    <row r="828" customFormat="false" ht="15.7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</row>
    <row r="829" customFormat="false" ht="15.7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</row>
    <row r="830" customFormat="false" ht="15.7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</row>
    <row r="831" customFormat="false" ht="15.7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</row>
    <row r="832" customFormat="false" ht="15.7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</row>
    <row r="833" customFormat="false" ht="15.7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</row>
    <row r="834" customFormat="false" ht="15.7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</row>
    <row r="835" customFormat="false" ht="15.7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</row>
    <row r="836" customFormat="false" ht="15.7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</row>
    <row r="837" customFormat="false" ht="15.7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</row>
    <row r="838" customFormat="false" ht="15.7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</row>
    <row r="839" customFormat="false" ht="15.7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</row>
    <row r="840" customFormat="false" ht="15.7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</row>
    <row r="841" customFormat="false" ht="15.7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</row>
    <row r="842" customFormat="false" ht="15.7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</row>
    <row r="843" customFormat="false" ht="15.7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</row>
    <row r="844" customFormat="false" ht="15.7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</row>
    <row r="845" customFormat="false" ht="15.7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</row>
    <row r="846" customFormat="false" ht="15.7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</row>
    <row r="847" customFormat="false" ht="15.7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</row>
    <row r="848" customFormat="false" ht="15.7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</row>
    <row r="849" customFormat="false" ht="15.7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</row>
    <row r="850" customFormat="false" ht="15.7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</row>
    <row r="851" customFormat="false" ht="15.7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</row>
    <row r="852" customFormat="false" ht="15.7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</row>
    <row r="853" customFormat="false" ht="15.7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</row>
    <row r="854" customFormat="false" ht="15.7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</row>
    <row r="855" customFormat="false" ht="15.7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</row>
    <row r="856" customFormat="false" ht="15.7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</row>
    <row r="857" customFormat="false" ht="15.7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</row>
    <row r="858" customFormat="false" ht="15.7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</row>
    <row r="859" customFormat="false" ht="15.7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</row>
    <row r="860" customFormat="false" ht="15.7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</row>
    <row r="861" customFormat="false" ht="15.7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</row>
    <row r="862" customFormat="false" ht="15.7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</row>
    <row r="863" customFormat="false" ht="15.7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</row>
    <row r="864" customFormat="false" ht="15.7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</row>
    <row r="865" customFormat="false" ht="15.7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</row>
    <row r="866" customFormat="false" ht="15.7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</row>
    <row r="867" customFormat="false" ht="15.7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</row>
    <row r="868" customFormat="false" ht="15.7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</row>
    <row r="869" customFormat="false" ht="15.7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</row>
    <row r="870" customFormat="false" ht="15.7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</row>
    <row r="871" customFormat="false" ht="15.7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</row>
    <row r="872" customFormat="false" ht="15.7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</row>
    <row r="873" customFormat="false" ht="15.7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</row>
    <row r="874" customFormat="false" ht="15.7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</row>
    <row r="875" customFormat="false" ht="15.7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</row>
    <row r="876" customFormat="false" ht="15.7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</row>
    <row r="877" customFormat="false" ht="15.7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</row>
    <row r="878" customFormat="false" ht="15.7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</row>
    <row r="879" customFormat="false" ht="15.7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</row>
    <row r="880" customFormat="false" ht="15.7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</row>
    <row r="881" customFormat="false" ht="15.7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</row>
    <row r="882" customFormat="false" ht="15.7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</row>
    <row r="883" customFormat="false" ht="15.7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</row>
    <row r="884" customFormat="false" ht="15.7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</row>
    <row r="885" customFormat="false" ht="15.7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</row>
    <row r="886" customFormat="false" ht="15.7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</row>
    <row r="887" customFormat="false" ht="15.7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</row>
    <row r="888" customFormat="false" ht="15.7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</row>
    <row r="889" customFormat="false" ht="15.7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</row>
    <row r="890" customFormat="false" ht="15.7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</row>
    <row r="891" customFormat="false" ht="15.7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</row>
    <row r="892" customFormat="false" ht="15.7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</row>
    <row r="893" customFormat="false" ht="15.7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</row>
    <row r="894" customFormat="false" ht="15.7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</row>
    <row r="895" customFormat="false" ht="15.7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</row>
    <row r="896" customFormat="false" ht="15.7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</row>
    <row r="897" customFormat="false" ht="15.7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</row>
    <row r="898" customFormat="false" ht="15.7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</row>
    <row r="899" customFormat="false" ht="15.7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</row>
    <row r="900" customFormat="false" ht="15.7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</row>
    <row r="901" customFormat="false" ht="15.7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</row>
    <row r="902" customFormat="false" ht="15.7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</row>
    <row r="903" customFormat="false" ht="15.7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</row>
    <row r="904" customFormat="false" ht="15.7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</row>
    <row r="905" customFormat="false" ht="15.7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</row>
    <row r="906" customFormat="false" ht="15.7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</row>
    <row r="907" customFormat="false" ht="15.7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</row>
    <row r="908" customFormat="false" ht="15.7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</row>
    <row r="909" customFormat="false" ht="15.7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</row>
    <row r="910" customFormat="false" ht="15.7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</row>
    <row r="911" customFormat="false" ht="15.7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</row>
    <row r="912" customFormat="false" ht="15.7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</row>
    <row r="913" customFormat="false" ht="15.7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</row>
    <row r="914" customFormat="false" ht="15.7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</row>
    <row r="915" customFormat="false" ht="15.7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</row>
    <row r="916" customFormat="false" ht="15.7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</row>
    <row r="917" customFormat="false" ht="15.7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</row>
    <row r="918" customFormat="false" ht="15.7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</row>
    <row r="919" customFormat="false" ht="15.7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</row>
    <row r="920" customFormat="false" ht="15.7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</row>
    <row r="921" customFormat="false" ht="15.7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</row>
    <row r="922" customFormat="false" ht="15.7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</row>
    <row r="923" customFormat="false" ht="15.7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</row>
    <row r="924" customFormat="false" ht="15.7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</row>
    <row r="925" customFormat="false" ht="15.7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</row>
    <row r="926" customFormat="false" ht="15.7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</row>
    <row r="927" customFormat="false" ht="15.7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</row>
    <row r="928" customFormat="false" ht="15.7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</row>
    <row r="929" customFormat="false" ht="15.7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</row>
    <row r="930" customFormat="false" ht="15.7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</row>
    <row r="931" customFormat="false" ht="15.7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</row>
    <row r="932" customFormat="false" ht="15.7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</row>
    <row r="933" customFormat="false" ht="15.7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</row>
    <row r="934" customFormat="false" ht="15.7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</row>
    <row r="935" customFormat="false" ht="15.7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</row>
    <row r="936" customFormat="false" ht="15.7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</row>
    <row r="937" customFormat="false" ht="15.7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</row>
    <row r="938" customFormat="false" ht="15.7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</row>
    <row r="939" customFormat="false" ht="15.7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</row>
    <row r="940" customFormat="false" ht="15.7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</row>
    <row r="941" customFormat="false" ht="15.7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</row>
    <row r="942" customFormat="false" ht="15.7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</row>
    <row r="943" customFormat="false" ht="15.7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</row>
    <row r="944" customFormat="false" ht="15.7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</row>
    <row r="945" customFormat="false" ht="15.7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</row>
    <row r="946" customFormat="false" ht="15.7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</row>
    <row r="947" customFormat="false" ht="15.7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</row>
    <row r="948" customFormat="false" ht="15.7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</row>
    <row r="949" customFormat="false" ht="15.7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</row>
    <row r="950" customFormat="false" ht="15.7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</row>
    <row r="951" customFormat="false" ht="15.7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</row>
    <row r="952" customFormat="false" ht="15.7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</row>
    <row r="953" customFormat="false" ht="15.7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</row>
    <row r="954" customFormat="false" ht="15.7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</row>
    <row r="955" customFormat="false" ht="15.7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</row>
    <row r="956" customFormat="false" ht="15.7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</row>
    <row r="957" customFormat="false" ht="15.7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</row>
    <row r="958" customFormat="false" ht="15.7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</row>
    <row r="959" customFormat="false" ht="15.7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</row>
    <row r="960" customFormat="false" ht="15.7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</row>
    <row r="961" customFormat="false" ht="15.7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</row>
    <row r="962" customFormat="false" ht="15.7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</row>
    <row r="963" customFormat="false" ht="15.7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</row>
    <row r="964" customFormat="false" ht="15.7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</row>
    <row r="965" customFormat="false" ht="15.7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</row>
    <row r="966" customFormat="false" ht="15.7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</row>
    <row r="967" customFormat="false" ht="15.7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</row>
    <row r="968" customFormat="false" ht="15.7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</row>
    <row r="969" customFormat="false" ht="15.7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</row>
    <row r="970" customFormat="false" ht="15.7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</row>
    <row r="971" customFormat="false" ht="15.7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</row>
    <row r="972" customFormat="false" ht="15.7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</row>
    <row r="973" customFormat="false" ht="15.7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</row>
    <row r="974" customFormat="false" ht="15.7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</row>
    <row r="975" customFormat="false" ht="15.7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</row>
    <row r="976" customFormat="false" ht="15.7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</row>
    <row r="977" customFormat="false" ht="15.7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</row>
    <row r="978" customFormat="false" ht="15.7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</row>
    <row r="979" customFormat="false" ht="15.7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</row>
    <row r="980" customFormat="false" ht="15.7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</row>
    <row r="981" customFormat="false" ht="15.7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</row>
    <row r="982" customFormat="false" ht="15.7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</row>
    <row r="983" customFormat="false" ht="15.7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</row>
    <row r="984" customFormat="false" ht="15.7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</row>
    <row r="985" customFormat="false" ht="15.7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</row>
    <row r="986" customFormat="false" ht="15.7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</row>
    <row r="987" customFormat="false" ht="15.7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</row>
    <row r="988" customFormat="false" ht="15.7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</row>
    <row r="989" customFormat="false" ht="15.7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</row>
    <row r="990" customFormat="false" ht="15.7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</row>
    <row r="991" customFormat="false" ht="15.7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</row>
    <row r="992" customFormat="false" ht="15.7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</row>
    <row r="993" customFormat="false" ht="15.7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</row>
    <row r="994" customFormat="false" ht="15.7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</row>
    <row r="995" customFormat="false" ht="15.7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</row>
    <row r="996" customFormat="false" ht="15.7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</row>
    <row r="997" customFormat="false" ht="15.75" hidden="false" customHeight="true" outlineLevel="0" collapsed="false">
      <c r="A997" s="2"/>
      <c r="B997" s="2"/>
      <c r="C997" s="2"/>
      <c r="D997" s="2"/>
      <c r="E997" s="2"/>
      <c r="F997" s="2"/>
      <c r="G997" s="2"/>
      <c r="H997" s="2"/>
    </row>
    <row r="998" customFormat="false" ht="15.75" hidden="false" customHeight="true" outlineLevel="0" collapsed="false">
      <c r="A998" s="2"/>
      <c r="B998" s="2"/>
      <c r="C998" s="2"/>
      <c r="D998" s="2"/>
      <c r="E998" s="2"/>
      <c r="F998" s="2"/>
      <c r="G998" s="2"/>
      <c r="H998" s="2"/>
    </row>
    <row r="999" customFormat="false" ht="15.75" hidden="false" customHeight="true" outlineLevel="0" collapsed="false">
      <c r="A999" s="2"/>
      <c r="B999" s="2"/>
      <c r="C999" s="2"/>
      <c r="D999" s="2"/>
      <c r="E999" s="2"/>
      <c r="F999" s="2"/>
      <c r="G999" s="2"/>
      <c r="H999" s="2"/>
    </row>
    <row r="1000" customFormat="false" ht="15.75" hidden="false" customHeight="true" outlineLevel="0" collapsed="false">
      <c r="A1000" s="2"/>
      <c r="B1000" s="2"/>
      <c r="C1000" s="2"/>
      <c r="D1000" s="2"/>
      <c r="E1000" s="2"/>
      <c r="F1000" s="2"/>
      <c r="G1000" s="2"/>
      <c r="H1000" s="2"/>
    </row>
  </sheetData>
  <mergeCells count="22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1:G31"/>
    <mergeCell ref="B32:H32"/>
    <mergeCell ref="D34:H34"/>
    <mergeCell ref="B39:G39"/>
    <mergeCell ref="B40:G40"/>
    <mergeCell ref="B41:G41"/>
    <mergeCell ref="B43:G43"/>
    <mergeCell ref="B44:G44"/>
    <mergeCell ref="B45:G45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2026-09-10T12:49:47Z</dcterms:created>
  <dc:creator>Z.ai</dc:creator>
  <dc:description/>
  <dc:language>en-US</dc:language>
  <cp:lastModifiedBy/>
  <dcterms:modified xsi:type="dcterms:W3CDTF">2026-09-10T12:49:48Z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